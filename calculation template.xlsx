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orange\OneDrive\桌面\小老師講義\"/>
    </mc:Choice>
  </mc:AlternateContent>
  <xr:revisionPtr revIDLastSave="0" documentId="8_{87876429-F386-45CD-A806-6C2BD2410EE3}" xr6:coauthVersionLast="47" xr6:coauthVersionMax="47" xr10:uidLastSave="{00000000-0000-0000-0000-000000000000}"/>
  <bookViews>
    <workbookView xWindow="-108" yWindow="-108" windowWidth="23256" windowHeight="12456" activeTab="2" xr2:uid="{DF6D48F8-242A-4C72-975F-A0370BFEDE1B}"/>
  </bookViews>
  <sheets>
    <sheet name="控制點 (ControlPoints)" sheetId="1" r:id="rId1"/>
    <sheet name="手簿 (Handbook)" sheetId="2" r:id="rId2"/>
    <sheet name="運算表" sheetId="4" r:id="rId3"/>
    <sheet name="細部點座標" sheetId="3" r:id="rId4"/>
  </sheets>
  <definedNames>
    <definedName name="FSPointlist">TB2Handbook[前視點]</definedName>
    <definedName name="Pointlist">TB1Control[點號]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4" l="1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2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2" i="4"/>
  <c r="D2" i="3"/>
  <c r="G3" i="4"/>
  <c r="D3" i="3" s="1"/>
  <c r="G4" i="4"/>
  <c r="D4" i="3" s="1"/>
  <c r="G5" i="4"/>
  <c r="D5" i="3" s="1"/>
  <c r="G6" i="4"/>
  <c r="D6" i="3" s="1"/>
  <c r="G7" i="4"/>
  <c r="D7" i="3" s="1"/>
  <c r="G8" i="4"/>
  <c r="D8" i="3" s="1"/>
  <c r="G9" i="4"/>
  <c r="D9" i="3" s="1"/>
  <c r="G10" i="4"/>
  <c r="D10" i="3" s="1"/>
  <c r="G11" i="4"/>
  <c r="D11" i="3" s="1"/>
  <c r="G12" i="4"/>
  <c r="D12" i="3" s="1"/>
  <c r="G13" i="4"/>
  <c r="D13" i="3" s="1"/>
  <c r="G14" i="4"/>
  <c r="D14" i="3" s="1"/>
  <c r="G15" i="4"/>
  <c r="D15" i="3" s="1"/>
  <c r="G16" i="4"/>
  <c r="D16" i="3" s="1"/>
  <c r="G17" i="4"/>
  <c r="D17" i="3" s="1"/>
  <c r="G18" i="4"/>
  <c r="D18" i="3" s="1"/>
  <c r="G19" i="4"/>
  <c r="D19" i="3" s="1"/>
  <c r="G20" i="4"/>
  <c r="D20" i="3" s="1"/>
  <c r="G21" i="4"/>
  <c r="D21" i="3" s="1"/>
  <c r="G22" i="4"/>
  <c r="D22" i="3" s="1"/>
  <c r="G23" i="4"/>
  <c r="D23" i="3" s="1"/>
  <c r="G24" i="4"/>
  <c r="D24" i="3" s="1"/>
  <c r="G25" i="4"/>
  <c r="D25" i="3" s="1"/>
  <c r="G26" i="4"/>
  <c r="D26" i="3" s="1"/>
  <c r="G27" i="4"/>
  <c r="D27" i="3" s="1"/>
  <c r="G28" i="4"/>
  <c r="D28" i="3" s="1"/>
  <c r="G29" i="4"/>
  <c r="D29" i="3" s="1"/>
  <c r="G30" i="4"/>
  <c r="D30" i="3" s="1"/>
  <c r="G31" i="4"/>
  <c r="D31" i="3" s="1"/>
  <c r="G32" i="4"/>
  <c r="D32" i="3" s="1"/>
  <c r="G33" i="4"/>
  <c r="D33" i="3" s="1"/>
  <c r="G34" i="4"/>
  <c r="D34" i="3" s="1"/>
  <c r="G35" i="4"/>
  <c r="D35" i="3" s="1"/>
  <c r="G36" i="4"/>
  <c r="D36" i="3" s="1"/>
  <c r="G37" i="4"/>
  <c r="D37" i="3" s="1"/>
  <c r="G38" i="4"/>
  <c r="D38" i="3" s="1"/>
  <c r="G39" i="4"/>
  <c r="D39" i="3" s="1"/>
  <c r="G40" i="4"/>
  <c r="D40" i="3" s="1"/>
  <c r="G41" i="4"/>
  <c r="D41" i="3" s="1"/>
  <c r="G42" i="4"/>
  <c r="D42" i="3" s="1"/>
  <c r="G43" i="4"/>
  <c r="D43" i="3" s="1"/>
  <c r="G44" i="4"/>
  <c r="D44" i="3" s="1"/>
  <c r="G45" i="4"/>
  <c r="D45" i="3" s="1"/>
  <c r="G46" i="4"/>
  <c r="D46" i="3" s="1"/>
  <c r="G47" i="4"/>
  <c r="D47" i="3" s="1"/>
  <c r="G48" i="4"/>
  <c r="D48" i="3" s="1"/>
  <c r="G49" i="4"/>
  <c r="D49" i="3" s="1"/>
  <c r="G50" i="4"/>
  <c r="D50" i="3" s="1"/>
  <c r="G51" i="4"/>
  <c r="D51" i="3" s="1"/>
  <c r="G52" i="4"/>
  <c r="D52" i="3" s="1"/>
  <c r="G53" i="4"/>
  <c r="D53" i="3" s="1"/>
  <c r="G54" i="4"/>
  <c r="D54" i="3" s="1"/>
  <c r="G55" i="4"/>
  <c r="D55" i="3" s="1"/>
  <c r="G56" i="4"/>
  <c r="D56" i="3" s="1"/>
  <c r="G57" i="4"/>
  <c r="D57" i="3" s="1"/>
  <c r="G58" i="4"/>
  <c r="D58" i="3" s="1"/>
  <c r="G59" i="4"/>
  <c r="D59" i="3" s="1"/>
  <c r="G60" i="4"/>
  <c r="D60" i="3" s="1"/>
  <c r="G61" i="4"/>
  <c r="D61" i="3" s="1"/>
  <c r="G62" i="4"/>
  <c r="D62" i="3" s="1"/>
  <c r="G63" i="4"/>
  <c r="D63" i="3" s="1"/>
  <c r="G64" i="4"/>
  <c r="D64" i="3" s="1"/>
  <c r="G65" i="4"/>
  <c r="D65" i="3" s="1"/>
  <c r="G66" i="4"/>
  <c r="D66" i="3" s="1"/>
  <c r="G67" i="4"/>
  <c r="D67" i="3" s="1"/>
  <c r="G68" i="4"/>
  <c r="D68" i="3" s="1"/>
  <c r="G69" i="4"/>
  <c r="D69" i="3" s="1"/>
  <c r="G70" i="4"/>
  <c r="D70" i="3" s="1"/>
  <c r="G71" i="4"/>
  <c r="D71" i="3" s="1"/>
  <c r="G72" i="4"/>
  <c r="D72" i="3" s="1"/>
  <c r="G73" i="4"/>
  <c r="D73" i="3" s="1"/>
  <c r="G74" i="4"/>
  <c r="D74" i="3" s="1"/>
  <c r="G75" i="4"/>
  <c r="D75" i="3" s="1"/>
  <c r="G76" i="4"/>
  <c r="D76" i="3" s="1"/>
  <c r="G77" i="4"/>
  <c r="D77" i="3" s="1"/>
  <c r="G78" i="4"/>
  <c r="D78" i="3" s="1"/>
  <c r="G79" i="4"/>
  <c r="D79" i="3" s="1"/>
  <c r="G80" i="4"/>
  <c r="D80" i="3" s="1"/>
  <c r="G81" i="4"/>
  <c r="D81" i="3" s="1"/>
  <c r="G82" i="4"/>
  <c r="D82" i="3" s="1"/>
  <c r="G83" i="4"/>
  <c r="D83" i="3" s="1"/>
  <c r="G84" i="4"/>
  <c r="D84" i="3" s="1"/>
  <c r="G85" i="4"/>
  <c r="D85" i="3" s="1"/>
  <c r="G86" i="4"/>
  <c r="D86" i="3" s="1"/>
  <c r="G87" i="4"/>
  <c r="D87" i="3" s="1"/>
  <c r="G88" i="4"/>
  <c r="D88" i="3" s="1"/>
  <c r="G89" i="4"/>
  <c r="D89" i="3" s="1"/>
  <c r="G90" i="4"/>
  <c r="D90" i="3" s="1"/>
  <c r="G91" i="4"/>
  <c r="D91" i="3" s="1"/>
  <c r="G92" i="4"/>
  <c r="D92" i="3" s="1"/>
  <c r="G93" i="4"/>
  <c r="D93" i="3" s="1"/>
  <c r="G94" i="4"/>
  <c r="D94" i="3" s="1"/>
  <c r="G95" i="4"/>
  <c r="D95" i="3" s="1"/>
  <c r="G96" i="4"/>
  <c r="D96" i="3" s="1"/>
  <c r="G97" i="4"/>
  <c r="D97" i="3" s="1"/>
  <c r="G98" i="4"/>
  <c r="D98" i="3" s="1"/>
  <c r="G99" i="4"/>
  <c r="D99" i="3" s="1"/>
  <c r="G100" i="4"/>
  <c r="D100" i="3" s="1"/>
  <c r="G2" i="4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2" i="3"/>
  <c r="A100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3" i="4"/>
  <c r="A2" i="4"/>
  <c r="B8" i="3" l="1"/>
  <c r="C14" i="3"/>
  <c r="C12" i="3"/>
  <c r="B9" i="3"/>
  <c r="B18" i="3"/>
  <c r="B17" i="3"/>
  <c r="B16" i="3"/>
  <c r="C10" i="3"/>
  <c r="B15" i="3"/>
  <c r="C6" i="3"/>
  <c r="C91" i="3"/>
  <c r="C11" i="3"/>
  <c r="B26" i="3"/>
  <c r="C24" i="3"/>
  <c r="C3" i="3"/>
  <c r="C90" i="3"/>
  <c r="B29" i="3"/>
  <c r="B88" i="3"/>
  <c r="C93" i="3"/>
  <c r="C30" i="3"/>
  <c r="B89" i="3"/>
  <c r="B28" i="3"/>
  <c r="B33" i="3"/>
  <c r="B43" i="3"/>
  <c r="C27" i="3"/>
  <c r="C13" i="3"/>
  <c r="C86" i="3"/>
  <c r="B48" i="3"/>
  <c r="C47" i="3"/>
  <c r="C73" i="3"/>
  <c r="C66" i="3"/>
  <c r="C46" i="3"/>
  <c r="B34" i="3"/>
  <c r="C87" i="3"/>
  <c r="C7" i="3"/>
  <c r="C81" i="3"/>
  <c r="B56" i="3"/>
  <c r="C80" i="3"/>
  <c r="C55" i="3"/>
  <c r="B79" i="3"/>
  <c r="C54" i="3"/>
  <c r="B78" i="3"/>
  <c r="C52" i="3"/>
  <c r="B51" i="3"/>
  <c r="B50" i="3"/>
  <c r="B49" i="3"/>
  <c r="C23" i="3"/>
  <c r="C32" i="3"/>
  <c r="B31" i="3"/>
  <c r="B85" i="3"/>
  <c r="C5" i="3"/>
  <c r="B84" i="3"/>
  <c r="C4" i="3"/>
  <c r="C83" i="3"/>
  <c r="C65" i="3"/>
  <c r="B64" i="3"/>
  <c r="B62" i="3"/>
  <c r="B37" i="3"/>
  <c r="C61" i="3"/>
  <c r="B36" i="3"/>
  <c r="C60" i="3"/>
  <c r="C35" i="3"/>
  <c r="C59" i="3"/>
  <c r="B58" i="3"/>
  <c r="B82" i="3"/>
  <c r="B57" i="3"/>
  <c r="C2" i="3"/>
  <c r="B77" i="3"/>
  <c r="C22" i="3"/>
  <c r="B63" i="3"/>
  <c r="B76" i="3"/>
  <c r="C21" i="3"/>
  <c r="C53" i="3"/>
  <c r="C100" i="3"/>
  <c r="C75" i="3"/>
  <c r="C20" i="3"/>
  <c r="B99" i="3"/>
  <c r="B74" i="3"/>
  <c r="B19" i="3"/>
  <c r="B45" i="3"/>
  <c r="B98" i="3"/>
  <c r="B72" i="3"/>
  <c r="B44" i="3"/>
  <c r="B97" i="3"/>
  <c r="B71" i="3"/>
  <c r="C42" i="3"/>
  <c r="B96" i="3"/>
  <c r="B70" i="3"/>
  <c r="C41" i="3"/>
  <c r="C95" i="3"/>
  <c r="B69" i="3"/>
  <c r="B40" i="3"/>
  <c r="B94" i="3"/>
  <c r="B68" i="3"/>
  <c r="B39" i="3"/>
  <c r="B25" i="3"/>
  <c r="B92" i="3"/>
  <c r="C67" i="3"/>
  <c r="B38" i="3"/>
  <c r="C50" i="3"/>
  <c r="C70" i="3"/>
  <c r="B11" i="3"/>
  <c r="B46" i="3"/>
  <c r="C26" i="3"/>
  <c r="B24" i="3"/>
  <c r="B66" i="3"/>
  <c r="B3" i="3"/>
  <c r="B91" i="3"/>
  <c r="B90" i="3"/>
  <c r="B41" i="3"/>
  <c r="B20" i="3"/>
  <c r="C89" i="3"/>
  <c r="C49" i="3"/>
  <c r="B10" i="3" l="1"/>
  <c r="B13" i="3"/>
  <c r="B93" i="3"/>
  <c r="B30" i="3"/>
  <c r="C34" i="3"/>
  <c r="C51" i="3"/>
  <c r="C43" i="3"/>
  <c r="B27" i="3"/>
  <c r="B86" i="3"/>
  <c r="C88" i="3"/>
  <c r="C9" i="3"/>
  <c r="C33" i="3"/>
  <c r="C8" i="3"/>
  <c r="C28" i="3"/>
  <c r="C29" i="3"/>
  <c r="B81" i="3"/>
  <c r="C40" i="3"/>
  <c r="B87" i="3"/>
  <c r="B80" i="3"/>
  <c r="C74" i="3"/>
  <c r="C79" i="3"/>
  <c r="C99" i="3"/>
  <c r="B23" i="3"/>
  <c r="B83" i="3"/>
  <c r="B6" i="3"/>
  <c r="B7" i="3"/>
  <c r="B47" i="3"/>
  <c r="B52" i="3"/>
  <c r="B73" i="3"/>
  <c r="C64" i="3"/>
  <c r="B32" i="3"/>
  <c r="C48" i="3"/>
  <c r="C44" i="3"/>
  <c r="C45" i="3"/>
  <c r="B61" i="3"/>
  <c r="C68" i="3"/>
  <c r="C15" i="3"/>
  <c r="B55" i="3"/>
  <c r="B65" i="3"/>
  <c r="B54" i="3"/>
  <c r="C69" i="3"/>
  <c r="C84" i="3"/>
  <c r="C85" i="3"/>
  <c r="B21" i="3"/>
  <c r="B75" i="3"/>
  <c r="C16" i="3"/>
  <c r="C72" i="3"/>
  <c r="C56" i="3"/>
  <c r="C31" i="3"/>
  <c r="C76" i="3"/>
  <c r="B53" i="3"/>
  <c r="C37" i="3"/>
  <c r="B5" i="3"/>
  <c r="C92" i="3"/>
  <c r="C78" i="3"/>
  <c r="C63" i="3"/>
  <c r="C94" i="3"/>
  <c r="C96" i="3"/>
  <c r="C17" i="3"/>
  <c r="B2" i="3"/>
  <c r="C57" i="3"/>
  <c r="C77" i="3"/>
  <c r="B22" i="3"/>
  <c r="C97" i="3"/>
  <c r="B42" i="3"/>
  <c r="B59" i="3"/>
  <c r="C18" i="3"/>
  <c r="C71" i="3"/>
  <c r="C38" i="3"/>
  <c r="B12" i="3"/>
  <c r="C58" i="3"/>
  <c r="B14" i="3"/>
  <c r="C98" i="3"/>
  <c r="C62" i="3"/>
  <c r="B60" i="3"/>
  <c r="C25" i="3"/>
  <c r="C82" i="3"/>
  <c r="B100" i="3"/>
  <c r="B67" i="3"/>
  <c r="C19" i="3"/>
  <c r="C36" i="3"/>
  <c r="C39" i="3"/>
  <c r="B95" i="3"/>
  <c r="B4" i="3"/>
  <c r="B35" i="3"/>
</calcChain>
</file>

<file path=xl/sharedStrings.xml><?xml version="1.0" encoding="utf-8"?>
<sst xmlns="http://schemas.openxmlformats.org/spreadsheetml/2006/main" count="90" uniqueCount="54">
  <si>
    <t>點號</t>
    <phoneticPr fontId="1" type="noConversion"/>
  </si>
  <si>
    <t>N座標</t>
    <phoneticPr fontId="1" type="noConversion"/>
  </si>
  <si>
    <t>E座標</t>
    <phoneticPr fontId="1" type="noConversion"/>
  </si>
  <si>
    <t>H座標</t>
    <phoneticPr fontId="1" type="noConversion"/>
  </si>
  <si>
    <t>GCP1</t>
    <phoneticPr fontId="1" type="noConversion"/>
  </si>
  <si>
    <t>GCP5</t>
    <phoneticPr fontId="1" type="noConversion"/>
  </si>
  <si>
    <t>4-1-1</t>
    <phoneticPr fontId="1" type="noConversion"/>
  </si>
  <si>
    <t>4-1-2</t>
    <phoneticPr fontId="1" type="noConversion"/>
  </si>
  <si>
    <t>4-1-3</t>
  </si>
  <si>
    <t>4-1-4</t>
  </si>
  <si>
    <t>4-1-5</t>
  </si>
  <si>
    <t>4-1-6</t>
  </si>
  <si>
    <t>4-1-7</t>
  </si>
  <si>
    <t>4-1-8</t>
  </si>
  <si>
    <t>測站</t>
  </si>
  <si>
    <t>後視點</t>
  </si>
  <si>
    <t>前視點</t>
  </si>
  <si>
    <t>水平角(度)</t>
    <phoneticPr fontId="1" type="noConversion"/>
  </si>
  <si>
    <t>水平角(分)</t>
    <phoneticPr fontId="1" type="noConversion"/>
  </si>
  <si>
    <t>水平角(秒)</t>
    <phoneticPr fontId="1" type="noConversion"/>
  </si>
  <si>
    <t>水平距</t>
  </si>
  <si>
    <t>天頂距(度)</t>
    <phoneticPr fontId="1" type="noConversion"/>
  </si>
  <si>
    <t>天頂距(分)</t>
    <phoneticPr fontId="1" type="noConversion"/>
  </si>
  <si>
    <t>天頂距(秒)</t>
    <phoneticPr fontId="1" type="noConversion"/>
  </si>
  <si>
    <t>儀器高</t>
  </si>
  <si>
    <t>稜鏡高</t>
  </si>
  <si>
    <t>備註</t>
  </si>
  <si>
    <t>4-1-2</t>
  </si>
  <si>
    <t>4-1-1</t>
  </si>
  <si>
    <t>B-1</t>
    <phoneticPr fontId="1" type="noConversion"/>
  </si>
  <si>
    <t>B-5</t>
    <phoneticPr fontId="1" type="noConversion"/>
  </si>
  <si>
    <t>B-7</t>
    <phoneticPr fontId="1" type="noConversion"/>
  </si>
  <si>
    <t>水平角DEG</t>
    <phoneticPr fontId="1" type="noConversion"/>
  </si>
  <si>
    <r>
      <t>垂直角</t>
    </r>
    <r>
      <rPr>
        <sz val="12"/>
        <color theme="1"/>
        <rFont val="Calibri"/>
        <family val="3"/>
        <charset val="161"/>
      </rPr>
      <t>α</t>
    </r>
    <phoneticPr fontId="1" type="noConversion"/>
  </si>
  <si>
    <t>B-6</t>
    <phoneticPr fontId="1" type="noConversion"/>
  </si>
  <si>
    <t>B-7-T</t>
    <phoneticPr fontId="1" type="noConversion"/>
  </si>
  <si>
    <t>B-1-T</t>
    <phoneticPr fontId="1" type="noConversion"/>
  </si>
  <si>
    <t>B-11</t>
    <phoneticPr fontId="1" type="noConversion"/>
  </si>
  <si>
    <t>B-11-T</t>
    <phoneticPr fontId="1" type="noConversion"/>
  </si>
  <si>
    <t>B-15</t>
    <phoneticPr fontId="1" type="noConversion"/>
  </si>
  <si>
    <t>B-15-T</t>
    <phoneticPr fontId="1" type="noConversion"/>
  </si>
  <si>
    <t>B-51</t>
    <phoneticPr fontId="1" type="noConversion"/>
  </si>
  <si>
    <t>B-51-T</t>
    <phoneticPr fontId="1" type="noConversion"/>
  </si>
  <si>
    <t>B-16</t>
    <phoneticPr fontId="1" type="noConversion"/>
  </si>
  <si>
    <t>B-16-T</t>
    <phoneticPr fontId="1" type="noConversion"/>
  </si>
  <si>
    <t>B-17</t>
    <phoneticPr fontId="1" type="noConversion"/>
  </si>
  <si>
    <t>B-18</t>
    <phoneticPr fontId="1" type="noConversion"/>
  </si>
  <si>
    <t>B-20</t>
    <phoneticPr fontId="1" type="noConversion"/>
  </si>
  <si>
    <t>ATAN</t>
    <phoneticPr fontId="1" type="noConversion"/>
  </si>
  <si>
    <t>Eb-Ea</t>
    <phoneticPr fontId="1" type="noConversion"/>
  </si>
  <si>
    <t>Nb-Na</t>
    <phoneticPr fontId="1" type="noConversion"/>
  </si>
  <si>
    <t>(Eb-Ea)/(Nb-Na)</t>
    <phoneticPr fontId="1" type="noConversion"/>
  </si>
  <si>
    <r>
      <t>方位角</t>
    </r>
    <r>
      <rPr>
        <sz val="12"/>
        <color theme="1"/>
        <rFont val="新細明體"/>
        <family val="2"/>
        <charset val="136"/>
      </rPr>
      <t>φ</t>
    </r>
    <phoneticPr fontId="1" type="noConversion"/>
  </si>
  <si>
    <t>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</si>
</sst>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0"/>
  </numFmts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細明體"/>
      <family val="3"/>
      <charset val="136"/>
    </font>
    <font>
      <sz val="12"/>
      <color theme="1"/>
      <name val="Calibri"/>
      <family val="3"/>
      <charset val="161"/>
    </font>
    <font>
      <sz val="12"/>
      <color theme="1"/>
      <name val="新細明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76" fontId="0" fillId="0" borderId="3" xfId="0" applyNumberFormat="1" applyBorder="1">
      <alignment vertical="center"/>
    </xf>
    <xf numFmtId="49" fontId="0" fillId="0" borderId="2" xfId="0" applyNumberFormat="1" applyBorder="1" applyAlignment="1">
      <alignment horizontal="center" vertical="center"/>
    </xf>
    <xf numFmtId="49" fontId="0" fillId="2" borderId="4" xfId="0" applyNumberForma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76" fontId="0" fillId="0" borderId="8" xfId="0" applyNumberFormat="1" applyBorder="1">
      <alignment vertical="center"/>
    </xf>
    <xf numFmtId="0" fontId="0" fillId="0" borderId="0" xfId="0" applyAlignment="1">
      <alignment horizontal="center" vertical="center"/>
    </xf>
    <xf numFmtId="49" fontId="0" fillId="2" borderId="11" xfId="0" applyNumberFormat="1" applyFill="1" applyBorder="1" applyAlignment="1">
      <alignment horizontal="center" vertical="center"/>
    </xf>
    <xf numFmtId="49" fontId="0" fillId="2" borderId="13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77" fontId="0" fillId="0" borderId="3" xfId="0" applyNumberFormat="1" applyBorder="1" applyAlignment="1">
      <alignment horizontal="center" vertical="center"/>
    </xf>
    <xf numFmtId="177" fontId="0" fillId="0" borderId="8" xfId="0" applyNumberFormat="1" applyBorder="1" applyAlignment="1">
      <alignment horizontal="center" vertical="center"/>
    </xf>
    <xf numFmtId="177" fontId="0" fillId="0" borderId="0" xfId="0" applyNumberFormat="1">
      <alignment vertical="center"/>
    </xf>
    <xf numFmtId="176" fontId="0" fillId="0" borderId="3" xfId="0" applyNumberFormat="1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6" xfId="0" applyNumberFormat="1" applyBorder="1">
      <alignment vertical="center"/>
    </xf>
    <xf numFmtId="176" fontId="0" fillId="0" borderId="1" xfId="0" applyNumberFormat="1" applyBorder="1">
      <alignment vertical="center"/>
    </xf>
    <xf numFmtId="49" fontId="0" fillId="0" borderId="0" xfId="0" quotePrefix="1" applyNumberFormat="1" applyAlignment="1">
      <alignment horizontal="center" vertical="center"/>
    </xf>
    <xf numFmtId="0" fontId="0" fillId="0" borderId="3" xfId="0" applyBorder="1">
      <alignment vertical="center"/>
    </xf>
  </cellXfs>
  <cellStyles count="1">
    <cellStyle name="一般" xfId="0" builtinId="0"/>
  </cellStyles>
  <dxfs count="24"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76" formatCode="0.0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6" formatCode="0.0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7" formatCode="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7" formatCode="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6" formatCode="0.0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7" formatCode="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7" formatCode="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76" formatCode="0.0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76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76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8214AD-2460-41EC-857E-54438EA9B16D}" name="TB1Control" displayName="TB1Control" ref="A1:D11" totalsRowShown="0" headerRowDxfId="23" headerRowBorderDxfId="22" tableBorderDxfId="21" totalsRowBorderDxfId="20">
  <autoFilter ref="A1:D11" xr:uid="{CD8214AD-2460-41EC-857E-54438EA9B16D}"/>
  <tableColumns count="4">
    <tableColumn id="1" xr3:uid="{E0010F4A-26A7-4D8C-93A2-A9FECF741576}" name="點號" dataDxfId="19"/>
    <tableColumn id="2" xr3:uid="{88CA764A-493F-4A34-99A2-6DD2CED3BC07}" name="N座標" dataDxfId="18"/>
    <tableColumn id="3" xr3:uid="{BF59AFBC-AD0C-49F3-BD02-EC305747FEA1}" name="E座標" dataDxfId="17"/>
    <tableColumn id="4" xr3:uid="{3B302C72-0D08-4A25-BFEF-38576C9CDC5C}" name="H座標" dataDxfId="1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F7A74A-2512-4380-A0E1-DACAFBF0A9B3}" name="TB2Handbook" displayName="TB2Handbook" ref="A1:M99" totalsRowShown="0" headerRowDxfId="15" dataDxfId="14" tableBorderDxfId="13">
  <autoFilter ref="A1:M99" xr:uid="{74F7A74A-2512-4380-A0E1-DACAFBF0A9B3}"/>
  <tableColumns count="13">
    <tableColumn id="1" xr3:uid="{5A2137E5-4906-48FB-92D2-91D2BC6729D9}" name="測站" dataDxfId="12"/>
    <tableColumn id="2" xr3:uid="{EF2F57A0-4F4D-4FB4-81A6-FEF0A5E0BE11}" name="後視點" dataDxfId="11"/>
    <tableColumn id="3" xr3:uid="{8337DF4F-4AD6-4290-9F7B-10308EA57A39}" name="前視點" dataDxfId="10"/>
    <tableColumn id="4" xr3:uid="{0098FB47-DC44-4BA5-87AE-416976C5FF14}" name="水平角(度)" dataDxfId="9"/>
    <tableColumn id="5" xr3:uid="{ACB86D8E-C340-4F9D-B74B-2D403AC505A7}" name="水平角(分)" dataDxfId="8"/>
    <tableColumn id="6" xr3:uid="{4896D2FA-80BE-417D-950B-A5C6140E1D23}" name="水平角(秒)" dataDxfId="7"/>
    <tableColumn id="7" xr3:uid="{53626ADA-5324-4768-AD0B-B02D00285436}" name="水平距" dataDxfId="6"/>
    <tableColumn id="8" xr3:uid="{00A68FCB-4257-45ED-92B7-FF9909109ACC}" name="天頂距(度)" dataDxfId="5"/>
    <tableColumn id="9" xr3:uid="{D55B2A98-C4BA-424B-BD47-F1664BE728B5}" name="天頂距(分)" dataDxfId="4"/>
    <tableColumn id="10" xr3:uid="{CD81228A-3B20-43E7-AE8D-53CC553B7C0A}" name="天頂距(秒)" dataDxfId="3"/>
    <tableColumn id="11" xr3:uid="{031E6D03-47F8-4FF8-9E8B-478708E6F904}" name="儀器高" dataDxfId="2"/>
    <tableColumn id="12" xr3:uid="{80DD5E2C-4366-4B9A-BE34-546414A81E1A}" name="稜鏡高" dataDxfId="1"/>
    <tableColumn id="13" xr3:uid="{BDCB7995-540D-48C8-9AAD-EBD99DEED735}" name="備註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C1853-B464-4880-BE17-0CC9DF6EDD8E}">
  <dimension ref="A1:D11"/>
  <sheetViews>
    <sheetView zoomScaleNormal="100" workbookViewId="0">
      <selection activeCell="B5" sqref="B5"/>
    </sheetView>
  </sheetViews>
  <sheetFormatPr defaultRowHeight="16.2" x14ac:dyDescent="0.3"/>
  <cols>
    <col min="1" max="1" width="8.77734375" style="2" customWidth="1"/>
    <col min="2" max="4" width="20.77734375" customWidth="1"/>
  </cols>
  <sheetData>
    <row r="1" spans="1:4" x14ac:dyDescent="0.3">
      <c r="A1" s="7" t="s">
        <v>0</v>
      </c>
      <c r="B1" s="8" t="s">
        <v>1</v>
      </c>
      <c r="C1" s="8" t="s">
        <v>2</v>
      </c>
      <c r="D1" s="9" t="s">
        <v>3</v>
      </c>
    </row>
    <row r="2" spans="1:4" x14ac:dyDescent="0.3">
      <c r="A2" s="6" t="s">
        <v>4</v>
      </c>
      <c r="B2" s="5">
        <v>2768136.3169999998</v>
      </c>
      <c r="C2" s="5">
        <v>304386.79300000001</v>
      </c>
      <c r="D2" s="31">
        <v>8.7170000000000005</v>
      </c>
    </row>
    <row r="3" spans="1:4" x14ac:dyDescent="0.3">
      <c r="A3" s="6" t="s">
        <v>5</v>
      </c>
      <c r="B3" s="5">
        <v>2768130.037</v>
      </c>
      <c r="C3" s="5">
        <v>304520.11599999998</v>
      </c>
      <c r="D3" s="32">
        <v>9</v>
      </c>
    </row>
    <row r="4" spans="1:4" x14ac:dyDescent="0.3">
      <c r="A4" s="6" t="s">
        <v>6</v>
      </c>
      <c r="B4" s="5">
        <v>2768125.1170000001</v>
      </c>
      <c r="C4" s="5">
        <v>304579.799</v>
      </c>
      <c r="D4" s="32">
        <v>8.9510000000000005</v>
      </c>
    </row>
    <row r="5" spans="1:4" x14ac:dyDescent="0.3">
      <c r="A5" s="6" t="s">
        <v>7</v>
      </c>
      <c r="B5" s="5">
        <v>2768122.534</v>
      </c>
      <c r="C5" s="5">
        <v>304628.61900000001</v>
      </c>
      <c r="D5" s="32">
        <v>8.7140000000000004</v>
      </c>
    </row>
    <row r="6" spans="1:4" x14ac:dyDescent="0.3">
      <c r="A6" s="6" t="s">
        <v>8</v>
      </c>
      <c r="B6" s="5">
        <v>2768074.5460000001</v>
      </c>
      <c r="C6" s="5">
        <v>304632.74699999997</v>
      </c>
      <c r="D6" s="32">
        <v>8.8260000000000005</v>
      </c>
    </row>
    <row r="7" spans="1:4" x14ac:dyDescent="0.3">
      <c r="A7" s="6" t="s">
        <v>9</v>
      </c>
      <c r="B7" s="5">
        <v>2768079</v>
      </c>
      <c r="C7" s="5">
        <v>304684.54499999998</v>
      </c>
      <c r="D7" s="32">
        <v>8.9619999999999997</v>
      </c>
    </row>
    <row r="8" spans="1:4" x14ac:dyDescent="0.3">
      <c r="A8" s="6" t="s">
        <v>10</v>
      </c>
      <c r="B8" s="5">
        <v>2768113.051</v>
      </c>
      <c r="C8" s="5">
        <v>304709.78100000002</v>
      </c>
      <c r="D8" s="32">
        <v>8.9280000000000008</v>
      </c>
    </row>
    <row r="9" spans="1:4" x14ac:dyDescent="0.3">
      <c r="A9" s="6" t="s">
        <v>11</v>
      </c>
      <c r="B9" s="5">
        <v>2768148.6129999999</v>
      </c>
      <c r="C9" s="5">
        <v>304694.60499999998</v>
      </c>
      <c r="D9" s="32">
        <v>9</v>
      </c>
    </row>
    <row r="10" spans="1:4" x14ac:dyDescent="0.3">
      <c r="A10" s="6" t="s">
        <v>12</v>
      </c>
      <c r="B10" s="5">
        <v>2768165.969</v>
      </c>
      <c r="C10" s="5">
        <v>304660.788</v>
      </c>
      <c r="D10" s="32">
        <v>8.8460000000000001</v>
      </c>
    </row>
    <row r="11" spans="1:4" x14ac:dyDescent="0.3">
      <c r="A11" s="10" t="s">
        <v>13</v>
      </c>
      <c r="B11" s="11">
        <v>2768143.949</v>
      </c>
      <c r="C11" s="11">
        <v>304620.65100000001</v>
      </c>
      <c r="D11" s="32">
        <v>8.6959999999999997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20BD9-4E9C-43A9-9FB5-35E9E8470A27}">
  <dimension ref="A1:M100"/>
  <sheetViews>
    <sheetView workbookViewId="0">
      <selection activeCell="G15" sqref="G15"/>
    </sheetView>
  </sheetViews>
  <sheetFormatPr defaultRowHeight="16.2" x14ac:dyDescent="0.3"/>
  <cols>
    <col min="1" max="1" width="10.44140625" style="1" bestFit="1" customWidth="1"/>
    <col min="2" max="3" width="12.6640625" style="1" bestFit="1" customWidth="1"/>
    <col min="4" max="6" width="16.33203125" bestFit="1" customWidth="1"/>
    <col min="7" max="7" width="12.6640625" bestFit="1" customWidth="1"/>
    <col min="8" max="10" width="16.33203125" bestFit="1" customWidth="1"/>
    <col min="11" max="12" width="12.6640625" bestFit="1" customWidth="1"/>
    <col min="13" max="13" width="10.44140625" bestFit="1" customWidth="1"/>
  </cols>
  <sheetData>
    <row r="1" spans="1:13" x14ac:dyDescent="0.3">
      <c r="A1" s="13" t="s">
        <v>14</v>
      </c>
      <c r="B1" s="14" t="s">
        <v>15</v>
      </c>
      <c r="C1" s="14" t="s">
        <v>16</v>
      </c>
      <c r="D1" s="9" t="s">
        <v>17</v>
      </c>
      <c r="E1" s="15" t="s">
        <v>18</v>
      </c>
      <c r="F1" s="16" t="s">
        <v>19</v>
      </c>
      <c r="G1" s="8" t="s">
        <v>20</v>
      </c>
      <c r="H1" s="9" t="s">
        <v>21</v>
      </c>
      <c r="I1" s="15" t="s">
        <v>22</v>
      </c>
      <c r="J1" s="16" t="s">
        <v>23</v>
      </c>
      <c r="K1" s="8" t="s">
        <v>24</v>
      </c>
      <c r="L1" s="8" t="s">
        <v>25</v>
      </c>
      <c r="M1" s="17" t="s">
        <v>26</v>
      </c>
    </row>
    <row r="2" spans="1:13" x14ac:dyDescent="0.3">
      <c r="A2" s="6" t="s">
        <v>27</v>
      </c>
      <c r="B2" s="18" t="s">
        <v>28</v>
      </c>
      <c r="C2" s="18" t="s">
        <v>29</v>
      </c>
      <c r="D2" s="19">
        <v>124</v>
      </c>
      <c r="E2" s="25">
        <v>16</v>
      </c>
      <c r="F2" s="25">
        <v>25</v>
      </c>
      <c r="G2" s="28">
        <v>33.033000000000001</v>
      </c>
      <c r="H2" s="19">
        <v>90</v>
      </c>
      <c r="I2" s="25">
        <v>13</v>
      </c>
      <c r="J2" s="25">
        <v>7</v>
      </c>
      <c r="K2" s="28">
        <v>1.603</v>
      </c>
      <c r="L2" s="28">
        <v>1.2509999999999999</v>
      </c>
      <c r="M2" s="20"/>
    </row>
    <row r="3" spans="1:13" x14ac:dyDescent="0.3">
      <c r="A3" s="6" t="s">
        <v>27</v>
      </c>
      <c r="B3" s="18" t="s">
        <v>28</v>
      </c>
      <c r="C3" s="18" t="s">
        <v>30</v>
      </c>
      <c r="D3" s="19">
        <v>152</v>
      </c>
      <c r="E3" s="25">
        <v>15</v>
      </c>
      <c r="F3" s="25">
        <v>40</v>
      </c>
      <c r="G3" s="28">
        <v>12.42</v>
      </c>
      <c r="H3" s="19">
        <v>95</v>
      </c>
      <c r="I3" s="25">
        <v>33</v>
      </c>
      <c r="J3" s="25">
        <v>42</v>
      </c>
      <c r="K3" s="28">
        <v>1.603</v>
      </c>
      <c r="L3" s="28">
        <v>0</v>
      </c>
      <c r="M3" s="20"/>
    </row>
    <row r="4" spans="1:13" x14ac:dyDescent="0.3">
      <c r="A4" s="6" t="s">
        <v>27</v>
      </c>
      <c r="B4" s="18" t="s">
        <v>28</v>
      </c>
      <c r="C4" s="18" t="s">
        <v>34</v>
      </c>
      <c r="D4" s="19">
        <v>193</v>
      </c>
      <c r="E4" s="25">
        <v>47</v>
      </c>
      <c r="F4" s="25">
        <v>45</v>
      </c>
      <c r="G4" s="28">
        <v>11.853</v>
      </c>
      <c r="H4" s="19">
        <v>95</v>
      </c>
      <c r="I4" s="25">
        <v>31</v>
      </c>
      <c r="J4" s="25">
        <v>52</v>
      </c>
      <c r="K4" s="28">
        <v>1.603</v>
      </c>
      <c r="L4" s="28">
        <v>0</v>
      </c>
      <c r="M4" s="20"/>
    </row>
    <row r="5" spans="1:13" x14ac:dyDescent="0.3">
      <c r="A5" s="6" t="s">
        <v>27</v>
      </c>
      <c r="B5" s="18" t="s">
        <v>28</v>
      </c>
      <c r="C5" s="18" t="s">
        <v>31</v>
      </c>
      <c r="D5" s="19">
        <v>157</v>
      </c>
      <c r="E5" s="25">
        <v>29</v>
      </c>
      <c r="F5" s="25">
        <v>34</v>
      </c>
      <c r="G5" s="28">
        <v>15.679</v>
      </c>
      <c r="H5" s="19">
        <v>88</v>
      </c>
      <c r="I5" s="25">
        <v>33</v>
      </c>
      <c r="J5" s="25">
        <v>41</v>
      </c>
      <c r="K5" s="28">
        <v>1.603</v>
      </c>
      <c r="L5" s="28">
        <v>1.4650000000000001</v>
      </c>
      <c r="M5" s="20"/>
    </row>
    <row r="6" spans="1:13" x14ac:dyDescent="0.3">
      <c r="A6" s="6" t="s">
        <v>27</v>
      </c>
      <c r="B6" s="18" t="s">
        <v>28</v>
      </c>
      <c r="C6" s="18" t="s">
        <v>35</v>
      </c>
      <c r="D6" s="19">
        <v>157</v>
      </c>
      <c r="E6" s="25">
        <v>29</v>
      </c>
      <c r="F6" s="25">
        <v>34</v>
      </c>
      <c r="G6" s="28">
        <v>15.679</v>
      </c>
      <c r="H6" s="19">
        <v>74</v>
      </c>
      <c r="I6" s="25">
        <v>25</v>
      </c>
      <c r="J6" s="25">
        <v>48</v>
      </c>
      <c r="K6" s="28">
        <v>1.603</v>
      </c>
      <c r="L6" s="28">
        <v>0</v>
      </c>
      <c r="M6" s="20"/>
    </row>
    <row r="7" spans="1:13" x14ac:dyDescent="0.3">
      <c r="A7" s="6" t="s">
        <v>27</v>
      </c>
      <c r="B7" s="18" t="s">
        <v>28</v>
      </c>
      <c r="C7" s="18" t="s">
        <v>36</v>
      </c>
      <c r="D7" s="19">
        <v>124</v>
      </c>
      <c r="E7" s="25">
        <v>16</v>
      </c>
      <c r="F7" s="25">
        <v>25</v>
      </c>
      <c r="G7" s="28">
        <v>33.033000000000001</v>
      </c>
      <c r="H7" s="19">
        <v>64</v>
      </c>
      <c r="I7" s="25">
        <v>58</v>
      </c>
      <c r="J7" s="25">
        <v>40</v>
      </c>
      <c r="K7" s="28">
        <v>1.603</v>
      </c>
      <c r="L7" s="28">
        <v>0</v>
      </c>
      <c r="M7" s="20"/>
    </row>
    <row r="8" spans="1:13" x14ac:dyDescent="0.3">
      <c r="A8" s="6" t="s">
        <v>27</v>
      </c>
      <c r="B8" s="18" t="s">
        <v>28</v>
      </c>
      <c r="C8" s="18" t="s">
        <v>37</v>
      </c>
      <c r="D8" s="19">
        <v>190</v>
      </c>
      <c r="E8" s="25">
        <v>14</v>
      </c>
      <c r="F8" s="25">
        <v>49</v>
      </c>
      <c r="G8" s="28">
        <v>15.05</v>
      </c>
      <c r="H8" s="19">
        <v>88</v>
      </c>
      <c r="I8" s="25">
        <v>11</v>
      </c>
      <c r="J8" s="25">
        <v>50</v>
      </c>
      <c r="K8" s="28">
        <v>1.603</v>
      </c>
      <c r="L8" s="28">
        <v>1.5309999999999999</v>
      </c>
      <c r="M8" s="20"/>
    </row>
    <row r="9" spans="1:13" x14ac:dyDescent="0.3">
      <c r="A9" s="6" t="s">
        <v>27</v>
      </c>
      <c r="B9" s="18" t="s">
        <v>28</v>
      </c>
      <c r="C9" s="18" t="s">
        <v>38</v>
      </c>
      <c r="D9" s="19">
        <v>190</v>
      </c>
      <c r="E9" s="25">
        <v>14</v>
      </c>
      <c r="F9" s="25">
        <v>49</v>
      </c>
      <c r="G9" s="28">
        <v>15.05</v>
      </c>
      <c r="H9" s="19">
        <v>73</v>
      </c>
      <c r="I9" s="25">
        <v>51</v>
      </c>
      <c r="J9" s="25">
        <v>2</v>
      </c>
      <c r="K9" s="28">
        <v>1.603</v>
      </c>
      <c r="L9" s="28">
        <v>0</v>
      </c>
      <c r="M9" s="20"/>
    </row>
    <row r="10" spans="1:13" x14ac:dyDescent="0.3">
      <c r="A10" s="6" t="s">
        <v>27</v>
      </c>
      <c r="B10" s="18" t="s">
        <v>28</v>
      </c>
      <c r="C10" s="18" t="s">
        <v>39</v>
      </c>
      <c r="D10" s="19">
        <v>164</v>
      </c>
      <c r="E10" s="25">
        <v>23</v>
      </c>
      <c r="F10" s="25">
        <v>59</v>
      </c>
      <c r="G10" s="28">
        <v>15.116</v>
      </c>
      <c r="H10" s="19">
        <v>88</v>
      </c>
      <c r="I10" s="25">
        <v>12</v>
      </c>
      <c r="J10" s="25">
        <v>47</v>
      </c>
      <c r="K10" s="28">
        <v>1.603</v>
      </c>
      <c r="L10" s="28">
        <v>1.5309999999999999</v>
      </c>
      <c r="M10" s="20"/>
    </row>
    <row r="11" spans="1:13" x14ac:dyDescent="0.3">
      <c r="A11" s="6" t="s">
        <v>27</v>
      </c>
      <c r="B11" s="18" t="s">
        <v>28</v>
      </c>
      <c r="C11" s="18" t="s">
        <v>40</v>
      </c>
      <c r="D11" s="19">
        <v>164</v>
      </c>
      <c r="E11" s="25">
        <v>23</v>
      </c>
      <c r="F11" s="25">
        <v>59</v>
      </c>
      <c r="G11" s="28">
        <v>15.116</v>
      </c>
      <c r="H11" s="19">
        <v>83</v>
      </c>
      <c r="I11" s="25">
        <v>40</v>
      </c>
      <c r="J11" s="25">
        <v>32</v>
      </c>
      <c r="K11" s="28">
        <v>1.603</v>
      </c>
      <c r="L11" s="28">
        <v>0</v>
      </c>
      <c r="M11" s="20"/>
    </row>
    <row r="12" spans="1:13" x14ac:dyDescent="0.3">
      <c r="A12" s="6" t="s">
        <v>27</v>
      </c>
      <c r="B12" s="18" t="s">
        <v>28</v>
      </c>
      <c r="C12" s="18" t="s">
        <v>41</v>
      </c>
      <c r="D12" s="19">
        <v>183</v>
      </c>
      <c r="E12" s="25">
        <v>0</v>
      </c>
      <c r="F12" s="25">
        <v>48</v>
      </c>
      <c r="G12" s="28">
        <v>14.765000000000001</v>
      </c>
      <c r="H12" s="19">
        <v>88</v>
      </c>
      <c r="I12" s="25">
        <v>10</v>
      </c>
      <c r="J12" s="25">
        <v>45</v>
      </c>
      <c r="K12" s="28">
        <v>1.603</v>
      </c>
      <c r="L12" s="28">
        <v>1.5309999999999999</v>
      </c>
      <c r="M12" s="20"/>
    </row>
    <row r="13" spans="1:13" x14ac:dyDescent="0.3">
      <c r="A13" s="6" t="s">
        <v>27</v>
      </c>
      <c r="B13" s="18" t="s">
        <v>28</v>
      </c>
      <c r="C13" s="18" t="s">
        <v>42</v>
      </c>
      <c r="D13" s="19">
        <v>183</v>
      </c>
      <c r="E13" s="25">
        <v>0</v>
      </c>
      <c r="F13" s="25">
        <v>48</v>
      </c>
      <c r="G13" s="28">
        <v>14.765000000000001</v>
      </c>
      <c r="H13" s="19">
        <v>83</v>
      </c>
      <c r="I13" s="25">
        <v>29</v>
      </c>
      <c r="J13" s="25">
        <v>22</v>
      </c>
      <c r="K13" s="28">
        <v>1.603</v>
      </c>
      <c r="L13" s="28">
        <v>0</v>
      </c>
      <c r="M13" s="20"/>
    </row>
    <row r="14" spans="1:13" x14ac:dyDescent="0.3">
      <c r="A14" s="6" t="s">
        <v>8</v>
      </c>
      <c r="B14" s="18" t="s">
        <v>27</v>
      </c>
      <c r="C14" s="18" t="s">
        <v>43</v>
      </c>
      <c r="D14" s="19">
        <v>38</v>
      </c>
      <c r="E14" s="25">
        <v>6</v>
      </c>
      <c r="F14" s="25">
        <v>55</v>
      </c>
      <c r="G14" s="28">
        <v>27.864999999999998</v>
      </c>
      <c r="H14" s="19">
        <v>89</v>
      </c>
      <c r="I14" s="25">
        <v>22</v>
      </c>
      <c r="J14" s="25">
        <v>16</v>
      </c>
      <c r="K14" s="28">
        <v>1.601</v>
      </c>
      <c r="L14" s="28">
        <v>1.7629999999999999</v>
      </c>
      <c r="M14" s="20"/>
    </row>
    <row r="15" spans="1:13" x14ac:dyDescent="0.3">
      <c r="A15" s="6" t="s">
        <v>8</v>
      </c>
      <c r="B15" s="18" t="s">
        <v>27</v>
      </c>
      <c r="C15" s="18" t="s">
        <v>44</v>
      </c>
      <c r="D15" s="19">
        <v>38</v>
      </c>
      <c r="E15" s="25">
        <v>6</v>
      </c>
      <c r="F15" s="25">
        <v>55</v>
      </c>
      <c r="G15" s="28">
        <v>27.864999999999998</v>
      </c>
      <c r="H15" s="19">
        <v>61</v>
      </c>
      <c r="I15" s="25">
        <v>11</v>
      </c>
      <c r="J15" s="25">
        <v>42</v>
      </c>
      <c r="K15" s="28">
        <v>1.601</v>
      </c>
      <c r="L15" s="28">
        <v>0</v>
      </c>
      <c r="M15" s="20"/>
    </row>
    <row r="16" spans="1:13" x14ac:dyDescent="0.3">
      <c r="A16" s="6" t="s">
        <v>9</v>
      </c>
      <c r="B16" s="18" t="s">
        <v>8</v>
      </c>
      <c r="C16" s="18" t="s">
        <v>45</v>
      </c>
      <c r="D16" s="19">
        <v>82</v>
      </c>
      <c r="E16" s="25">
        <v>57</v>
      </c>
      <c r="F16" s="25">
        <v>44</v>
      </c>
      <c r="G16" s="28">
        <v>18.844000000000001</v>
      </c>
      <c r="H16" s="19">
        <v>87</v>
      </c>
      <c r="I16" s="25">
        <v>58</v>
      </c>
      <c r="J16" s="25">
        <v>30</v>
      </c>
      <c r="K16" s="28">
        <v>1.552</v>
      </c>
      <c r="L16" s="28">
        <v>2.181</v>
      </c>
      <c r="M16" s="20"/>
    </row>
    <row r="17" spans="1:13" x14ac:dyDescent="0.3">
      <c r="A17" s="6" t="s">
        <v>9</v>
      </c>
      <c r="B17" s="18" t="s">
        <v>8</v>
      </c>
      <c r="C17" s="18" t="s">
        <v>46</v>
      </c>
      <c r="D17" s="19">
        <v>84</v>
      </c>
      <c r="E17" s="25">
        <v>58</v>
      </c>
      <c r="F17" s="25">
        <v>30</v>
      </c>
      <c r="G17" s="28">
        <v>22.13</v>
      </c>
      <c r="H17" s="19">
        <v>88</v>
      </c>
      <c r="I17" s="25">
        <v>16</v>
      </c>
      <c r="J17" s="25">
        <v>40</v>
      </c>
      <c r="K17" s="28">
        <v>1.552</v>
      </c>
      <c r="L17" s="28">
        <v>2.181</v>
      </c>
      <c r="M17" s="20"/>
    </row>
    <row r="18" spans="1:13" x14ac:dyDescent="0.3">
      <c r="A18" s="6" t="s">
        <v>9</v>
      </c>
      <c r="B18" s="18" t="s">
        <v>8</v>
      </c>
      <c r="C18" s="18" t="s">
        <v>47</v>
      </c>
      <c r="D18" s="19">
        <v>100</v>
      </c>
      <c r="E18" s="25">
        <v>46</v>
      </c>
      <c r="F18" s="25">
        <v>18</v>
      </c>
      <c r="G18" s="28">
        <v>21.855</v>
      </c>
      <c r="H18" s="19">
        <v>88</v>
      </c>
      <c r="I18" s="25">
        <v>16</v>
      </c>
      <c r="J18" s="25">
        <v>58</v>
      </c>
      <c r="K18" s="28">
        <v>1.552</v>
      </c>
      <c r="L18" s="28">
        <v>2.181</v>
      </c>
      <c r="M18" s="20"/>
    </row>
    <row r="19" spans="1:13" x14ac:dyDescent="0.3">
      <c r="A19" s="6"/>
      <c r="B19" s="18"/>
      <c r="C19" s="18"/>
      <c r="D19" s="19"/>
      <c r="E19" s="25"/>
      <c r="F19" s="25"/>
      <c r="G19" s="28"/>
      <c r="H19" s="19"/>
      <c r="I19" s="25"/>
      <c r="J19" s="25"/>
      <c r="K19" s="28"/>
      <c r="L19" s="28"/>
      <c r="M19" s="20"/>
    </row>
    <row r="20" spans="1:13" x14ac:dyDescent="0.3">
      <c r="A20" s="6"/>
      <c r="B20" s="18"/>
      <c r="C20" s="18"/>
      <c r="D20" s="19"/>
      <c r="E20" s="25"/>
      <c r="F20" s="25"/>
      <c r="G20" s="28"/>
      <c r="H20" s="19"/>
      <c r="I20" s="25"/>
      <c r="J20" s="25"/>
      <c r="K20" s="28"/>
      <c r="L20" s="28"/>
      <c r="M20" s="20"/>
    </row>
    <row r="21" spans="1:13" x14ac:dyDescent="0.3">
      <c r="A21" s="6"/>
      <c r="B21" s="18"/>
      <c r="C21" s="18"/>
      <c r="D21" s="19"/>
      <c r="E21" s="25"/>
      <c r="F21" s="25"/>
      <c r="G21" s="28"/>
      <c r="H21" s="19"/>
      <c r="I21" s="25"/>
      <c r="J21" s="25"/>
      <c r="K21" s="28"/>
      <c r="L21" s="28"/>
      <c r="M21" s="20"/>
    </row>
    <row r="22" spans="1:13" x14ac:dyDescent="0.3">
      <c r="A22" s="6"/>
      <c r="B22" s="18"/>
      <c r="C22" s="18"/>
      <c r="D22" s="19"/>
      <c r="E22" s="25"/>
      <c r="F22" s="25"/>
      <c r="G22" s="28"/>
      <c r="H22" s="19"/>
      <c r="I22" s="25"/>
      <c r="J22" s="25"/>
      <c r="K22" s="28"/>
      <c r="L22" s="28"/>
      <c r="M22" s="20"/>
    </row>
    <row r="23" spans="1:13" x14ac:dyDescent="0.3">
      <c r="A23" s="6"/>
      <c r="B23" s="18"/>
      <c r="C23" s="18"/>
      <c r="D23" s="19"/>
      <c r="E23" s="25"/>
      <c r="F23" s="25"/>
      <c r="G23" s="28"/>
      <c r="H23" s="19"/>
      <c r="I23" s="25"/>
      <c r="J23" s="25"/>
      <c r="K23" s="28"/>
      <c r="L23" s="28"/>
      <c r="M23" s="20"/>
    </row>
    <row r="24" spans="1:13" x14ac:dyDescent="0.3">
      <c r="A24" s="6"/>
      <c r="B24" s="18"/>
      <c r="C24" s="18"/>
      <c r="D24" s="19"/>
      <c r="E24" s="25"/>
      <c r="F24" s="25"/>
      <c r="G24" s="28"/>
      <c r="H24" s="19"/>
      <c r="I24" s="25"/>
      <c r="J24" s="25"/>
      <c r="K24" s="28"/>
      <c r="L24" s="28"/>
      <c r="M24" s="20"/>
    </row>
    <row r="25" spans="1:13" x14ac:dyDescent="0.3">
      <c r="A25" s="6"/>
      <c r="B25" s="18"/>
      <c r="C25" s="18"/>
      <c r="D25" s="19"/>
      <c r="E25" s="25"/>
      <c r="F25" s="25"/>
      <c r="G25" s="28"/>
      <c r="H25" s="19"/>
      <c r="I25" s="25"/>
      <c r="J25" s="25"/>
      <c r="K25" s="28"/>
      <c r="L25" s="28"/>
      <c r="M25" s="20"/>
    </row>
    <row r="26" spans="1:13" x14ac:dyDescent="0.3">
      <c r="A26" s="6"/>
      <c r="B26" s="18"/>
      <c r="C26" s="18"/>
      <c r="D26" s="19"/>
      <c r="E26" s="25"/>
      <c r="F26" s="25"/>
      <c r="G26" s="28"/>
      <c r="H26" s="19"/>
      <c r="I26" s="25"/>
      <c r="J26" s="25"/>
      <c r="K26" s="28"/>
      <c r="L26" s="28"/>
      <c r="M26" s="20"/>
    </row>
    <row r="27" spans="1:13" x14ac:dyDescent="0.3">
      <c r="A27" s="6"/>
      <c r="B27" s="18"/>
      <c r="C27" s="18"/>
      <c r="D27" s="19"/>
      <c r="E27" s="25"/>
      <c r="F27" s="25"/>
      <c r="G27" s="28"/>
      <c r="H27" s="19"/>
      <c r="I27" s="25"/>
      <c r="J27" s="25"/>
      <c r="K27" s="28"/>
      <c r="L27" s="28"/>
      <c r="M27" s="20"/>
    </row>
    <row r="28" spans="1:13" x14ac:dyDescent="0.3">
      <c r="A28" s="6"/>
      <c r="B28" s="18"/>
      <c r="C28" s="18"/>
      <c r="D28" s="19"/>
      <c r="E28" s="25"/>
      <c r="F28" s="25"/>
      <c r="G28" s="28"/>
      <c r="H28" s="19"/>
      <c r="I28" s="25"/>
      <c r="J28" s="25"/>
      <c r="K28" s="28"/>
      <c r="L28" s="28"/>
      <c r="M28" s="20"/>
    </row>
    <row r="29" spans="1:13" x14ac:dyDescent="0.3">
      <c r="A29" s="6"/>
      <c r="B29" s="18"/>
      <c r="C29" s="18"/>
      <c r="D29" s="19"/>
      <c r="E29" s="25"/>
      <c r="F29" s="25"/>
      <c r="G29" s="28"/>
      <c r="H29" s="19"/>
      <c r="I29" s="25"/>
      <c r="J29" s="25"/>
      <c r="K29" s="28"/>
      <c r="L29" s="28"/>
      <c r="M29" s="20"/>
    </row>
    <row r="30" spans="1:13" x14ac:dyDescent="0.3">
      <c r="A30" s="6"/>
      <c r="B30" s="18"/>
      <c r="C30" s="18"/>
      <c r="D30" s="19"/>
      <c r="E30" s="25"/>
      <c r="F30" s="25"/>
      <c r="G30" s="28"/>
      <c r="H30" s="19"/>
      <c r="I30" s="25"/>
      <c r="J30" s="25"/>
      <c r="K30" s="28"/>
      <c r="L30" s="28"/>
      <c r="M30" s="20"/>
    </row>
    <row r="31" spans="1:13" x14ac:dyDescent="0.3">
      <c r="A31" s="6"/>
      <c r="B31" s="18"/>
      <c r="C31" s="18"/>
      <c r="D31" s="19"/>
      <c r="E31" s="25"/>
      <c r="F31" s="25"/>
      <c r="G31" s="28"/>
      <c r="H31" s="19"/>
      <c r="I31" s="25"/>
      <c r="J31" s="25"/>
      <c r="K31" s="28"/>
      <c r="L31" s="28"/>
      <c r="M31" s="20"/>
    </row>
    <row r="32" spans="1:13" x14ac:dyDescent="0.3">
      <c r="A32" s="6"/>
      <c r="B32" s="18"/>
      <c r="C32" s="18"/>
      <c r="D32" s="19"/>
      <c r="E32" s="25"/>
      <c r="F32" s="25"/>
      <c r="G32" s="28"/>
      <c r="H32" s="19"/>
      <c r="I32" s="25"/>
      <c r="J32" s="25"/>
      <c r="K32" s="28"/>
      <c r="L32" s="28"/>
      <c r="M32" s="20"/>
    </row>
    <row r="33" spans="1:13" x14ac:dyDescent="0.3">
      <c r="A33" s="6"/>
      <c r="B33" s="18"/>
      <c r="C33" s="18"/>
      <c r="D33" s="19"/>
      <c r="E33" s="25"/>
      <c r="F33" s="25"/>
      <c r="G33" s="28"/>
      <c r="H33" s="19"/>
      <c r="I33" s="25"/>
      <c r="J33" s="25"/>
      <c r="K33" s="28"/>
      <c r="L33" s="28"/>
      <c r="M33" s="20"/>
    </row>
    <row r="34" spans="1:13" x14ac:dyDescent="0.3">
      <c r="A34" s="6"/>
      <c r="B34" s="18"/>
      <c r="C34" s="18"/>
      <c r="D34" s="19"/>
      <c r="E34" s="25"/>
      <c r="F34" s="25"/>
      <c r="G34" s="28"/>
      <c r="H34" s="19"/>
      <c r="I34" s="25"/>
      <c r="J34" s="25"/>
      <c r="K34" s="28"/>
      <c r="L34" s="28"/>
      <c r="M34" s="20"/>
    </row>
    <row r="35" spans="1:13" x14ac:dyDescent="0.3">
      <c r="A35" s="6"/>
      <c r="B35" s="18"/>
      <c r="C35" s="18"/>
      <c r="D35" s="19"/>
      <c r="E35" s="25"/>
      <c r="F35" s="25"/>
      <c r="G35" s="28"/>
      <c r="H35" s="19"/>
      <c r="I35" s="25"/>
      <c r="J35" s="25"/>
      <c r="K35" s="28"/>
      <c r="L35" s="28"/>
      <c r="M35" s="20"/>
    </row>
    <row r="36" spans="1:13" x14ac:dyDescent="0.3">
      <c r="A36" s="6"/>
      <c r="B36" s="18"/>
      <c r="C36" s="18"/>
      <c r="D36" s="19"/>
      <c r="E36" s="25"/>
      <c r="F36" s="25"/>
      <c r="G36" s="28"/>
      <c r="H36" s="19"/>
      <c r="I36" s="25"/>
      <c r="J36" s="25"/>
      <c r="K36" s="28"/>
      <c r="L36" s="28"/>
      <c r="M36" s="20"/>
    </row>
    <row r="37" spans="1:13" x14ac:dyDescent="0.3">
      <c r="A37" s="6"/>
      <c r="B37" s="18"/>
      <c r="C37" s="18"/>
      <c r="D37" s="19"/>
      <c r="E37" s="25"/>
      <c r="F37" s="25"/>
      <c r="G37" s="28"/>
      <c r="H37" s="19"/>
      <c r="I37" s="25"/>
      <c r="J37" s="25"/>
      <c r="K37" s="28"/>
      <c r="L37" s="28"/>
      <c r="M37" s="20"/>
    </row>
    <row r="38" spans="1:13" x14ac:dyDescent="0.3">
      <c r="A38" s="6"/>
      <c r="B38" s="18"/>
      <c r="C38" s="18"/>
      <c r="D38" s="19"/>
      <c r="E38" s="25"/>
      <c r="F38" s="25"/>
      <c r="G38" s="28"/>
      <c r="H38" s="19"/>
      <c r="I38" s="25"/>
      <c r="J38" s="25"/>
      <c r="K38" s="28"/>
      <c r="L38" s="28"/>
      <c r="M38" s="20"/>
    </row>
    <row r="39" spans="1:13" x14ac:dyDescent="0.3">
      <c r="A39" s="6"/>
      <c r="B39" s="18"/>
      <c r="C39" s="18"/>
      <c r="D39" s="19"/>
      <c r="E39" s="25"/>
      <c r="F39" s="25"/>
      <c r="G39" s="28"/>
      <c r="H39" s="19"/>
      <c r="I39" s="25"/>
      <c r="J39" s="25"/>
      <c r="K39" s="28"/>
      <c r="L39" s="28"/>
      <c r="M39" s="20"/>
    </row>
    <row r="40" spans="1:13" x14ac:dyDescent="0.3">
      <c r="A40" s="6"/>
      <c r="B40" s="18"/>
      <c r="C40" s="18"/>
      <c r="D40" s="19"/>
      <c r="E40" s="25"/>
      <c r="F40" s="25"/>
      <c r="G40" s="28"/>
      <c r="H40" s="19"/>
      <c r="I40" s="25"/>
      <c r="J40" s="25"/>
      <c r="K40" s="28"/>
      <c r="L40" s="28"/>
      <c r="M40" s="20"/>
    </row>
    <row r="41" spans="1:13" x14ac:dyDescent="0.3">
      <c r="A41" s="6"/>
      <c r="B41" s="18"/>
      <c r="C41" s="18"/>
      <c r="D41" s="19"/>
      <c r="E41" s="25"/>
      <c r="F41" s="25"/>
      <c r="G41" s="28"/>
      <c r="H41" s="19"/>
      <c r="I41" s="25"/>
      <c r="J41" s="25"/>
      <c r="K41" s="28"/>
      <c r="L41" s="28"/>
      <c r="M41" s="20"/>
    </row>
    <row r="42" spans="1:13" x14ac:dyDescent="0.3">
      <c r="A42" s="6"/>
      <c r="B42" s="18"/>
      <c r="C42" s="18"/>
      <c r="D42" s="19"/>
      <c r="E42" s="25"/>
      <c r="F42" s="25"/>
      <c r="G42" s="28"/>
      <c r="H42" s="19"/>
      <c r="I42" s="25"/>
      <c r="J42" s="25"/>
      <c r="K42" s="28"/>
      <c r="L42" s="28"/>
      <c r="M42" s="20"/>
    </row>
    <row r="43" spans="1:13" x14ac:dyDescent="0.3">
      <c r="A43" s="6"/>
      <c r="B43" s="18"/>
      <c r="C43" s="18"/>
      <c r="D43" s="19"/>
      <c r="E43" s="25"/>
      <c r="F43" s="25"/>
      <c r="G43" s="28"/>
      <c r="H43" s="19"/>
      <c r="I43" s="25"/>
      <c r="J43" s="25"/>
      <c r="K43" s="28"/>
      <c r="L43" s="28"/>
      <c r="M43" s="20"/>
    </row>
    <row r="44" spans="1:13" x14ac:dyDescent="0.3">
      <c r="A44" s="6"/>
      <c r="B44" s="18"/>
      <c r="C44" s="18"/>
      <c r="D44" s="19"/>
      <c r="E44" s="25"/>
      <c r="F44" s="25"/>
      <c r="G44" s="28"/>
      <c r="H44" s="19"/>
      <c r="I44" s="25"/>
      <c r="J44" s="25"/>
      <c r="K44" s="28"/>
      <c r="L44" s="28"/>
      <c r="M44" s="20"/>
    </row>
    <row r="45" spans="1:13" x14ac:dyDescent="0.3">
      <c r="A45" s="6"/>
      <c r="B45" s="18"/>
      <c r="C45" s="18"/>
      <c r="D45" s="19"/>
      <c r="E45" s="25"/>
      <c r="F45" s="25"/>
      <c r="G45" s="28"/>
      <c r="H45" s="19"/>
      <c r="I45" s="25"/>
      <c r="J45" s="25"/>
      <c r="K45" s="28"/>
      <c r="L45" s="28"/>
      <c r="M45" s="20"/>
    </row>
    <row r="46" spans="1:13" x14ac:dyDescent="0.3">
      <c r="A46" s="6"/>
      <c r="B46" s="18"/>
      <c r="C46" s="18"/>
      <c r="D46" s="19"/>
      <c r="E46" s="25"/>
      <c r="F46" s="25"/>
      <c r="G46" s="28"/>
      <c r="H46" s="19"/>
      <c r="I46" s="25"/>
      <c r="J46" s="25"/>
      <c r="K46" s="28"/>
      <c r="L46" s="28"/>
      <c r="M46" s="20"/>
    </row>
    <row r="47" spans="1:13" x14ac:dyDescent="0.3">
      <c r="A47" s="6"/>
      <c r="B47" s="18"/>
      <c r="C47" s="18"/>
      <c r="D47" s="19"/>
      <c r="E47" s="25"/>
      <c r="F47" s="25"/>
      <c r="G47" s="28"/>
      <c r="H47" s="19"/>
      <c r="I47" s="25"/>
      <c r="J47" s="25"/>
      <c r="K47" s="28"/>
      <c r="L47" s="28"/>
      <c r="M47" s="20"/>
    </row>
    <row r="48" spans="1:13" x14ac:dyDescent="0.3">
      <c r="A48" s="6"/>
      <c r="B48" s="18"/>
      <c r="C48" s="18"/>
      <c r="D48" s="19"/>
      <c r="E48" s="25"/>
      <c r="F48" s="25"/>
      <c r="G48" s="28"/>
      <c r="H48" s="19"/>
      <c r="I48" s="25"/>
      <c r="J48" s="25"/>
      <c r="K48" s="28"/>
      <c r="L48" s="28"/>
      <c r="M48" s="20"/>
    </row>
    <row r="49" spans="1:13" x14ac:dyDescent="0.3">
      <c r="A49" s="6"/>
      <c r="B49" s="18"/>
      <c r="C49" s="18"/>
      <c r="D49" s="19"/>
      <c r="E49" s="25"/>
      <c r="F49" s="25"/>
      <c r="G49" s="28"/>
      <c r="H49" s="19"/>
      <c r="I49" s="25"/>
      <c r="J49" s="25"/>
      <c r="K49" s="28"/>
      <c r="L49" s="28"/>
      <c r="M49" s="20"/>
    </row>
    <row r="50" spans="1:13" x14ac:dyDescent="0.3">
      <c r="A50" s="6"/>
      <c r="B50" s="18"/>
      <c r="C50" s="18"/>
      <c r="D50" s="19"/>
      <c r="E50" s="25"/>
      <c r="F50" s="25"/>
      <c r="G50" s="28"/>
      <c r="H50" s="19"/>
      <c r="I50" s="25"/>
      <c r="J50" s="25"/>
      <c r="K50" s="28"/>
      <c r="L50" s="28"/>
      <c r="M50" s="20"/>
    </row>
    <row r="51" spans="1:13" x14ac:dyDescent="0.3">
      <c r="A51" s="6"/>
      <c r="B51" s="18"/>
      <c r="C51" s="18"/>
      <c r="D51" s="19"/>
      <c r="E51" s="25"/>
      <c r="F51" s="25"/>
      <c r="G51" s="28"/>
      <c r="H51" s="19"/>
      <c r="I51" s="25"/>
      <c r="J51" s="25"/>
      <c r="K51" s="28"/>
      <c r="L51" s="28"/>
      <c r="M51" s="20"/>
    </row>
    <row r="52" spans="1:13" x14ac:dyDescent="0.3">
      <c r="A52" s="6"/>
      <c r="B52" s="18"/>
      <c r="C52" s="18"/>
      <c r="D52" s="19"/>
      <c r="E52" s="25"/>
      <c r="F52" s="25"/>
      <c r="G52" s="28"/>
      <c r="H52" s="19"/>
      <c r="I52" s="25"/>
      <c r="J52" s="25"/>
      <c r="K52" s="28"/>
      <c r="L52" s="28"/>
      <c r="M52" s="20"/>
    </row>
    <row r="53" spans="1:13" x14ac:dyDescent="0.3">
      <c r="A53" s="6"/>
      <c r="B53" s="18"/>
      <c r="C53" s="18"/>
      <c r="D53" s="19"/>
      <c r="E53" s="25"/>
      <c r="F53" s="25"/>
      <c r="G53" s="28"/>
      <c r="H53" s="19"/>
      <c r="I53" s="25"/>
      <c r="J53" s="25"/>
      <c r="K53" s="28"/>
      <c r="L53" s="28"/>
      <c r="M53" s="20"/>
    </row>
    <row r="54" spans="1:13" x14ac:dyDescent="0.3">
      <c r="A54" s="6"/>
      <c r="B54" s="18"/>
      <c r="C54" s="18"/>
      <c r="D54" s="19"/>
      <c r="E54" s="25"/>
      <c r="F54" s="25"/>
      <c r="G54" s="28"/>
      <c r="H54" s="19"/>
      <c r="I54" s="25"/>
      <c r="J54" s="25"/>
      <c r="K54" s="28"/>
      <c r="L54" s="28"/>
      <c r="M54" s="20"/>
    </row>
    <row r="55" spans="1:13" x14ac:dyDescent="0.3">
      <c r="A55" s="6"/>
      <c r="B55" s="18"/>
      <c r="C55" s="18"/>
      <c r="D55" s="19"/>
      <c r="E55" s="25"/>
      <c r="F55" s="25"/>
      <c r="G55" s="28"/>
      <c r="H55" s="19"/>
      <c r="I55" s="25"/>
      <c r="J55" s="25"/>
      <c r="K55" s="28"/>
      <c r="L55" s="28"/>
      <c r="M55" s="20"/>
    </row>
    <row r="56" spans="1:13" x14ac:dyDescent="0.3">
      <c r="A56" s="6"/>
      <c r="B56" s="18"/>
      <c r="C56" s="18"/>
      <c r="D56" s="19"/>
      <c r="E56" s="25"/>
      <c r="F56" s="25"/>
      <c r="G56" s="28"/>
      <c r="H56" s="19"/>
      <c r="I56" s="25"/>
      <c r="J56" s="25"/>
      <c r="K56" s="28"/>
      <c r="L56" s="28"/>
      <c r="M56" s="20"/>
    </row>
    <row r="57" spans="1:13" x14ac:dyDescent="0.3">
      <c r="A57" s="6"/>
      <c r="B57" s="18"/>
      <c r="C57" s="18"/>
      <c r="D57" s="19"/>
      <c r="E57" s="25"/>
      <c r="F57" s="25"/>
      <c r="G57" s="28"/>
      <c r="H57" s="19"/>
      <c r="I57" s="25"/>
      <c r="J57" s="25"/>
      <c r="K57" s="28"/>
      <c r="L57" s="28"/>
      <c r="M57" s="20"/>
    </row>
    <row r="58" spans="1:13" x14ac:dyDescent="0.3">
      <c r="A58" s="6"/>
      <c r="B58" s="18"/>
      <c r="C58" s="18"/>
      <c r="D58" s="19"/>
      <c r="E58" s="25"/>
      <c r="F58" s="25"/>
      <c r="G58" s="28"/>
      <c r="H58" s="19"/>
      <c r="I58" s="25"/>
      <c r="J58" s="25"/>
      <c r="K58" s="28"/>
      <c r="L58" s="28"/>
      <c r="M58" s="20"/>
    </row>
    <row r="59" spans="1:13" x14ac:dyDescent="0.3">
      <c r="A59" s="6"/>
      <c r="B59" s="18"/>
      <c r="C59" s="18"/>
      <c r="D59" s="19"/>
      <c r="E59" s="25"/>
      <c r="F59" s="25"/>
      <c r="G59" s="28"/>
      <c r="H59" s="19"/>
      <c r="I59" s="25"/>
      <c r="J59" s="25"/>
      <c r="K59" s="28"/>
      <c r="L59" s="28"/>
      <c r="M59" s="20"/>
    </row>
    <row r="60" spans="1:13" x14ac:dyDescent="0.3">
      <c r="A60" s="6"/>
      <c r="B60" s="18"/>
      <c r="C60" s="18"/>
      <c r="D60" s="19"/>
      <c r="E60" s="25"/>
      <c r="F60" s="25"/>
      <c r="G60" s="28"/>
      <c r="H60" s="19"/>
      <c r="I60" s="25"/>
      <c r="J60" s="25"/>
      <c r="K60" s="28"/>
      <c r="L60" s="28"/>
      <c r="M60" s="20"/>
    </row>
    <row r="61" spans="1:13" x14ac:dyDescent="0.3">
      <c r="A61" s="6"/>
      <c r="B61" s="18"/>
      <c r="C61" s="18"/>
      <c r="D61" s="19"/>
      <c r="E61" s="25"/>
      <c r="F61" s="25"/>
      <c r="G61" s="28"/>
      <c r="H61" s="19"/>
      <c r="I61" s="25"/>
      <c r="J61" s="25"/>
      <c r="K61" s="28"/>
      <c r="L61" s="28"/>
      <c r="M61" s="20"/>
    </row>
    <row r="62" spans="1:13" x14ac:dyDescent="0.3">
      <c r="A62" s="6"/>
      <c r="B62" s="18"/>
      <c r="C62" s="18"/>
      <c r="D62" s="19"/>
      <c r="E62" s="25"/>
      <c r="F62" s="25"/>
      <c r="G62" s="28"/>
      <c r="H62" s="19"/>
      <c r="I62" s="25"/>
      <c r="J62" s="25"/>
      <c r="K62" s="28"/>
      <c r="L62" s="28"/>
      <c r="M62" s="20"/>
    </row>
    <row r="63" spans="1:13" x14ac:dyDescent="0.3">
      <c r="A63" s="6"/>
      <c r="B63" s="18"/>
      <c r="C63" s="18"/>
      <c r="D63" s="19"/>
      <c r="E63" s="25"/>
      <c r="F63" s="25"/>
      <c r="G63" s="28"/>
      <c r="H63" s="19"/>
      <c r="I63" s="25"/>
      <c r="J63" s="25"/>
      <c r="K63" s="28"/>
      <c r="L63" s="28"/>
      <c r="M63" s="20"/>
    </row>
    <row r="64" spans="1:13" x14ac:dyDescent="0.3">
      <c r="A64" s="6"/>
      <c r="B64" s="18"/>
      <c r="C64" s="18"/>
      <c r="D64" s="19"/>
      <c r="E64" s="25"/>
      <c r="F64" s="25"/>
      <c r="G64" s="28"/>
      <c r="H64" s="19"/>
      <c r="I64" s="25"/>
      <c r="J64" s="25"/>
      <c r="K64" s="28"/>
      <c r="L64" s="28"/>
      <c r="M64" s="20"/>
    </row>
    <row r="65" spans="1:13" x14ac:dyDescent="0.3">
      <c r="A65" s="6"/>
      <c r="B65" s="18"/>
      <c r="C65" s="18"/>
      <c r="D65" s="19"/>
      <c r="E65" s="25"/>
      <c r="F65" s="25"/>
      <c r="G65" s="28"/>
      <c r="H65" s="19"/>
      <c r="I65" s="25"/>
      <c r="J65" s="25"/>
      <c r="K65" s="28"/>
      <c r="L65" s="28"/>
      <c r="M65" s="20"/>
    </row>
    <row r="66" spans="1:13" x14ac:dyDescent="0.3">
      <c r="A66" s="6"/>
      <c r="B66" s="18"/>
      <c r="C66" s="18"/>
      <c r="D66" s="19"/>
      <c r="E66" s="25"/>
      <c r="F66" s="25"/>
      <c r="G66" s="28"/>
      <c r="H66" s="19"/>
      <c r="I66" s="25"/>
      <c r="J66" s="25"/>
      <c r="K66" s="28"/>
      <c r="L66" s="28"/>
      <c r="M66" s="20"/>
    </row>
    <row r="67" spans="1:13" x14ac:dyDescent="0.3">
      <c r="A67" s="6"/>
      <c r="B67" s="18"/>
      <c r="C67" s="18"/>
      <c r="D67" s="19"/>
      <c r="E67" s="25"/>
      <c r="F67" s="25"/>
      <c r="G67" s="28"/>
      <c r="H67" s="19"/>
      <c r="I67" s="25"/>
      <c r="J67" s="25"/>
      <c r="K67" s="28"/>
      <c r="L67" s="28"/>
      <c r="M67" s="20"/>
    </row>
    <row r="68" spans="1:13" x14ac:dyDescent="0.3">
      <c r="A68" s="6"/>
      <c r="B68" s="18"/>
      <c r="C68" s="18"/>
      <c r="D68" s="19"/>
      <c r="E68" s="25"/>
      <c r="F68" s="25"/>
      <c r="G68" s="28"/>
      <c r="H68" s="19"/>
      <c r="I68" s="25"/>
      <c r="J68" s="25"/>
      <c r="K68" s="28"/>
      <c r="L68" s="28"/>
      <c r="M68" s="20"/>
    </row>
    <row r="69" spans="1:13" x14ac:dyDescent="0.3">
      <c r="A69" s="6"/>
      <c r="B69" s="18"/>
      <c r="C69" s="18"/>
      <c r="D69" s="19"/>
      <c r="E69" s="25"/>
      <c r="F69" s="25"/>
      <c r="G69" s="28"/>
      <c r="H69" s="19"/>
      <c r="I69" s="25"/>
      <c r="J69" s="25"/>
      <c r="K69" s="28"/>
      <c r="L69" s="28"/>
      <c r="M69" s="20"/>
    </row>
    <row r="70" spans="1:13" x14ac:dyDescent="0.3">
      <c r="A70" s="6"/>
      <c r="B70" s="18"/>
      <c r="C70" s="18"/>
      <c r="D70" s="19"/>
      <c r="E70" s="25"/>
      <c r="F70" s="25"/>
      <c r="G70" s="28"/>
      <c r="H70" s="19"/>
      <c r="I70" s="25"/>
      <c r="J70" s="25"/>
      <c r="K70" s="28"/>
      <c r="L70" s="28"/>
      <c r="M70" s="20"/>
    </row>
    <row r="71" spans="1:13" x14ac:dyDescent="0.3">
      <c r="A71" s="6"/>
      <c r="B71" s="18"/>
      <c r="C71" s="18"/>
      <c r="D71" s="19"/>
      <c r="E71" s="25"/>
      <c r="F71" s="25"/>
      <c r="G71" s="28"/>
      <c r="H71" s="19"/>
      <c r="I71" s="25"/>
      <c r="J71" s="25"/>
      <c r="K71" s="28"/>
      <c r="L71" s="28"/>
      <c r="M71" s="20"/>
    </row>
    <row r="72" spans="1:13" x14ac:dyDescent="0.3">
      <c r="A72" s="6"/>
      <c r="B72" s="18"/>
      <c r="C72" s="18"/>
      <c r="D72" s="19"/>
      <c r="E72" s="25"/>
      <c r="F72" s="25"/>
      <c r="G72" s="28"/>
      <c r="H72" s="19"/>
      <c r="I72" s="25"/>
      <c r="J72" s="25"/>
      <c r="K72" s="28"/>
      <c r="L72" s="28"/>
      <c r="M72" s="20"/>
    </row>
    <row r="73" spans="1:13" x14ac:dyDescent="0.3">
      <c r="A73" s="6"/>
      <c r="B73" s="18"/>
      <c r="C73" s="18"/>
      <c r="D73" s="19"/>
      <c r="E73" s="25"/>
      <c r="F73" s="25"/>
      <c r="G73" s="28"/>
      <c r="H73" s="19"/>
      <c r="I73" s="25"/>
      <c r="J73" s="25"/>
      <c r="K73" s="28"/>
      <c r="L73" s="28"/>
      <c r="M73" s="20"/>
    </row>
    <row r="74" spans="1:13" x14ac:dyDescent="0.3">
      <c r="A74" s="6"/>
      <c r="B74" s="18"/>
      <c r="C74" s="18"/>
      <c r="D74" s="19"/>
      <c r="E74" s="25"/>
      <c r="F74" s="25"/>
      <c r="G74" s="28"/>
      <c r="H74" s="19"/>
      <c r="I74" s="25"/>
      <c r="J74" s="25"/>
      <c r="K74" s="28"/>
      <c r="L74" s="28"/>
      <c r="M74" s="20"/>
    </row>
    <row r="75" spans="1:13" x14ac:dyDescent="0.3">
      <c r="A75" s="6"/>
      <c r="B75" s="18"/>
      <c r="C75" s="18"/>
      <c r="D75" s="19"/>
      <c r="E75" s="25"/>
      <c r="F75" s="25"/>
      <c r="G75" s="28"/>
      <c r="H75" s="19"/>
      <c r="I75" s="25"/>
      <c r="J75" s="25"/>
      <c r="K75" s="28"/>
      <c r="L75" s="28"/>
      <c r="M75" s="20"/>
    </row>
    <row r="76" spans="1:13" x14ac:dyDescent="0.3">
      <c r="A76" s="6"/>
      <c r="B76" s="18"/>
      <c r="C76" s="18"/>
      <c r="D76" s="19"/>
      <c r="E76" s="25"/>
      <c r="F76" s="25"/>
      <c r="G76" s="28"/>
      <c r="H76" s="19"/>
      <c r="I76" s="25"/>
      <c r="J76" s="25"/>
      <c r="K76" s="28"/>
      <c r="L76" s="28"/>
      <c r="M76" s="20"/>
    </row>
    <row r="77" spans="1:13" x14ac:dyDescent="0.3">
      <c r="A77" s="6"/>
      <c r="B77" s="18"/>
      <c r="C77" s="18"/>
      <c r="D77" s="19"/>
      <c r="E77" s="25"/>
      <c r="F77" s="25"/>
      <c r="G77" s="28"/>
      <c r="H77" s="19"/>
      <c r="I77" s="25"/>
      <c r="J77" s="25"/>
      <c r="K77" s="28"/>
      <c r="L77" s="28"/>
      <c r="M77" s="20"/>
    </row>
    <row r="78" spans="1:13" x14ac:dyDescent="0.3">
      <c r="A78" s="6"/>
      <c r="B78" s="18"/>
      <c r="C78" s="18"/>
      <c r="D78" s="19"/>
      <c r="E78" s="25"/>
      <c r="F78" s="25"/>
      <c r="G78" s="28"/>
      <c r="H78" s="19"/>
      <c r="I78" s="25"/>
      <c r="J78" s="25"/>
      <c r="K78" s="28"/>
      <c r="L78" s="28"/>
      <c r="M78" s="20"/>
    </row>
    <row r="79" spans="1:13" x14ac:dyDescent="0.3">
      <c r="A79" s="6"/>
      <c r="B79" s="18"/>
      <c r="C79" s="18"/>
      <c r="D79" s="19"/>
      <c r="E79" s="25"/>
      <c r="F79" s="25"/>
      <c r="G79" s="28"/>
      <c r="H79" s="19"/>
      <c r="I79" s="25"/>
      <c r="J79" s="25"/>
      <c r="K79" s="28"/>
      <c r="L79" s="28"/>
      <c r="M79" s="20"/>
    </row>
    <row r="80" spans="1:13" x14ac:dyDescent="0.3">
      <c r="A80" s="6"/>
      <c r="B80" s="18"/>
      <c r="C80" s="18"/>
      <c r="D80" s="19"/>
      <c r="E80" s="25"/>
      <c r="F80" s="25"/>
      <c r="G80" s="28"/>
      <c r="H80" s="19"/>
      <c r="I80" s="25"/>
      <c r="J80" s="25"/>
      <c r="K80" s="28"/>
      <c r="L80" s="28"/>
      <c r="M80" s="20"/>
    </row>
    <row r="81" spans="1:13" x14ac:dyDescent="0.3">
      <c r="A81" s="6"/>
      <c r="B81" s="18"/>
      <c r="C81" s="18"/>
      <c r="D81" s="19"/>
      <c r="E81" s="25"/>
      <c r="F81" s="25"/>
      <c r="G81" s="28"/>
      <c r="H81" s="19"/>
      <c r="I81" s="25"/>
      <c r="J81" s="25"/>
      <c r="K81" s="28"/>
      <c r="L81" s="28"/>
      <c r="M81" s="20"/>
    </row>
    <row r="82" spans="1:13" x14ac:dyDescent="0.3">
      <c r="A82" s="6"/>
      <c r="B82" s="18"/>
      <c r="C82" s="18"/>
      <c r="D82" s="19"/>
      <c r="E82" s="25"/>
      <c r="F82" s="25"/>
      <c r="G82" s="28"/>
      <c r="H82" s="19"/>
      <c r="I82" s="25"/>
      <c r="J82" s="25"/>
      <c r="K82" s="28"/>
      <c r="L82" s="28"/>
      <c r="M82" s="20"/>
    </row>
    <row r="83" spans="1:13" x14ac:dyDescent="0.3">
      <c r="A83" s="6"/>
      <c r="B83" s="18"/>
      <c r="C83" s="18"/>
      <c r="D83" s="19"/>
      <c r="E83" s="25"/>
      <c r="F83" s="25"/>
      <c r="G83" s="28"/>
      <c r="H83" s="19"/>
      <c r="I83" s="25"/>
      <c r="J83" s="25"/>
      <c r="K83" s="28"/>
      <c r="L83" s="28"/>
      <c r="M83" s="20"/>
    </row>
    <row r="84" spans="1:13" x14ac:dyDescent="0.3">
      <c r="A84" s="6"/>
      <c r="B84" s="18"/>
      <c r="C84" s="18"/>
      <c r="D84" s="19"/>
      <c r="E84" s="25"/>
      <c r="F84" s="25"/>
      <c r="G84" s="28"/>
      <c r="H84" s="19"/>
      <c r="I84" s="25"/>
      <c r="J84" s="25"/>
      <c r="K84" s="28"/>
      <c r="L84" s="28"/>
      <c r="M84" s="20"/>
    </row>
    <row r="85" spans="1:13" x14ac:dyDescent="0.3">
      <c r="A85" s="6"/>
      <c r="B85" s="18"/>
      <c r="C85" s="18"/>
      <c r="D85" s="19"/>
      <c r="E85" s="25"/>
      <c r="F85" s="25"/>
      <c r="G85" s="28"/>
      <c r="H85" s="19"/>
      <c r="I85" s="25"/>
      <c r="J85" s="25"/>
      <c r="K85" s="28"/>
      <c r="L85" s="28"/>
      <c r="M85" s="20"/>
    </row>
    <row r="86" spans="1:13" x14ac:dyDescent="0.3">
      <c r="A86" s="6"/>
      <c r="B86" s="18"/>
      <c r="C86" s="18"/>
      <c r="D86" s="19"/>
      <c r="E86" s="25"/>
      <c r="F86" s="25"/>
      <c r="G86" s="28"/>
      <c r="H86" s="19"/>
      <c r="I86" s="25"/>
      <c r="J86" s="25"/>
      <c r="K86" s="28"/>
      <c r="L86" s="28"/>
      <c r="M86" s="20"/>
    </row>
    <row r="87" spans="1:13" x14ac:dyDescent="0.3">
      <c r="A87" s="6"/>
      <c r="B87" s="18"/>
      <c r="C87" s="18"/>
      <c r="D87" s="19"/>
      <c r="E87" s="25"/>
      <c r="F87" s="25"/>
      <c r="G87" s="28"/>
      <c r="H87" s="19"/>
      <c r="I87" s="25"/>
      <c r="J87" s="25"/>
      <c r="K87" s="28"/>
      <c r="L87" s="28"/>
      <c r="M87" s="20"/>
    </row>
    <row r="88" spans="1:13" x14ac:dyDescent="0.3">
      <c r="A88" s="6"/>
      <c r="B88" s="18"/>
      <c r="C88" s="18"/>
      <c r="D88" s="19"/>
      <c r="E88" s="25"/>
      <c r="F88" s="25"/>
      <c r="G88" s="28"/>
      <c r="H88" s="19"/>
      <c r="I88" s="25"/>
      <c r="J88" s="25"/>
      <c r="K88" s="28"/>
      <c r="L88" s="28"/>
      <c r="M88" s="20"/>
    </row>
    <row r="89" spans="1:13" x14ac:dyDescent="0.3">
      <c r="A89" s="6"/>
      <c r="B89" s="18"/>
      <c r="C89" s="18"/>
      <c r="D89" s="19"/>
      <c r="E89" s="25"/>
      <c r="F89" s="25"/>
      <c r="G89" s="28"/>
      <c r="H89" s="19"/>
      <c r="I89" s="25"/>
      <c r="J89" s="25"/>
      <c r="K89" s="28"/>
      <c r="L89" s="28"/>
      <c r="M89" s="20"/>
    </row>
    <row r="90" spans="1:13" x14ac:dyDescent="0.3">
      <c r="A90" s="6"/>
      <c r="B90" s="18"/>
      <c r="C90" s="18"/>
      <c r="D90" s="19"/>
      <c r="E90" s="25"/>
      <c r="F90" s="25"/>
      <c r="G90" s="28"/>
      <c r="H90" s="19"/>
      <c r="I90" s="25"/>
      <c r="J90" s="25"/>
      <c r="K90" s="28"/>
      <c r="L90" s="28"/>
      <c r="M90" s="20"/>
    </row>
    <row r="91" spans="1:13" x14ac:dyDescent="0.3">
      <c r="A91" s="6"/>
      <c r="B91" s="18"/>
      <c r="C91" s="18"/>
      <c r="D91" s="19"/>
      <c r="E91" s="25"/>
      <c r="F91" s="25"/>
      <c r="G91" s="28"/>
      <c r="H91" s="19"/>
      <c r="I91" s="25"/>
      <c r="J91" s="25"/>
      <c r="K91" s="28"/>
      <c r="L91" s="28"/>
      <c r="M91" s="20"/>
    </row>
    <row r="92" spans="1:13" x14ac:dyDescent="0.3">
      <c r="A92" s="6"/>
      <c r="B92" s="18"/>
      <c r="C92" s="18"/>
      <c r="D92" s="19"/>
      <c r="E92" s="25"/>
      <c r="F92" s="25"/>
      <c r="G92" s="28"/>
      <c r="H92" s="19"/>
      <c r="I92" s="25"/>
      <c r="J92" s="25"/>
      <c r="K92" s="28"/>
      <c r="L92" s="28"/>
      <c r="M92" s="20"/>
    </row>
    <row r="93" spans="1:13" x14ac:dyDescent="0.3">
      <c r="A93" s="6"/>
      <c r="B93" s="18"/>
      <c r="C93" s="18"/>
      <c r="D93" s="19"/>
      <c r="E93" s="25"/>
      <c r="F93" s="25"/>
      <c r="G93" s="28"/>
      <c r="H93" s="19"/>
      <c r="I93" s="25"/>
      <c r="J93" s="25"/>
      <c r="K93" s="28"/>
      <c r="L93" s="28"/>
      <c r="M93" s="20"/>
    </row>
    <row r="94" spans="1:13" x14ac:dyDescent="0.3">
      <c r="A94" s="6"/>
      <c r="B94" s="18"/>
      <c r="C94" s="18"/>
      <c r="D94" s="19"/>
      <c r="E94" s="25"/>
      <c r="F94" s="25"/>
      <c r="G94" s="28"/>
      <c r="H94" s="19"/>
      <c r="I94" s="25"/>
      <c r="J94" s="25"/>
      <c r="K94" s="28"/>
      <c r="L94" s="28"/>
      <c r="M94" s="20"/>
    </row>
    <row r="95" spans="1:13" x14ac:dyDescent="0.3">
      <c r="A95" s="6"/>
      <c r="B95" s="18"/>
      <c r="C95" s="18"/>
      <c r="D95" s="19"/>
      <c r="E95" s="25"/>
      <c r="F95" s="25"/>
      <c r="G95" s="28"/>
      <c r="H95" s="19"/>
      <c r="I95" s="25"/>
      <c r="J95" s="25"/>
      <c r="K95" s="28"/>
      <c r="L95" s="28"/>
      <c r="M95" s="20"/>
    </row>
    <row r="96" spans="1:13" x14ac:dyDescent="0.3">
      <c r="A96" s="6"/>
      <c r="B96" s="18"/>
      <c r="C96" s="18"/>
      <c r="D96" s="19"/>
      <c r="E96" s="25"/>
      <c r="F96" s="25"/>
      <c r="G96" s="28"/>
      <c r="H96" s="19"/>
      <c r="I96" s="25"/>
      <c r="J96" s="25"/>
      <c r="K96" s="28"/>
      <c r="L96" s="28"/>
      <c r="M96" s="20"/>
    </row>
    <row r="97" spans="1:13" x14ac:dyDescent="0.3">
      <c r="A97" s="6"/>
      <c r="B97" s="18"/>
      <c r="C97" s="18"/>
      <c r="D97" s="19"/>
      <c r="E97" s="25"/>
      <c r="F97" s="25"/>
      <c r="G97" s="28"/>
      <c r="H97" s="19"/>
      <c r="I97" s="25"/>
      <c r="J97" s="25"/>
      <c r="K97" s="28"/>
      <c r="L97" s="28"/>
      <c r="M97" s="20"/>
    </row>
    <row r="98" spans="1:13" x14ac:dyDescent="0.3">
      <c r="A98" s="6"/>
      <c r="B98" s="18"/>
      <c r="C98" s="18"/>
      <c r="D98" s="19"/>
      <c r="E98" s="25"/>
      <c r="F98" s="25"/>
      <c r="G98" s="28"/>
      <c r="H98" s="19"/>
      <c r="I98" s="25"/>
      <c r="J98" s="25"/>
      <c r="K98" s="28"/>
      <c r="L98" s="28"/>
      <c r="M98" s="20"/>
    </row>
    <row r="99" spans="1:13" x14ac:dyDescent="0.3">
      <c r="A99" s="10"/>
      <c r="B99" s="21"/>
      <c r="C99" s="21"/>
      <c r="D99" s="22"/>
      <c r="E99" s="26"/>
      <c r="F99" s="26"/>
      <c r="G99" s="29"/>
      <c r="H99" s="22"/>
      <c r="I99" s="26"/>
      <c r="J99" s="26"/>
      <c r="K99" s="29"/>
      <c r="L99" s="29"/>
      <c r="M99" s="23"/>
    </row>
    <row r="100" spans="1:13" x14ac:dyDescent="0.3">
      <c r="E100" s="27"/>
      <c r="F100" s="27"/>
      <c r="G100" s="30"/>
      <c r="I100" s="27"/>
      <c r="J100" s="27"/>
    </row>
  </sheetData>
  <phoneticPr fontId="1" type="noConversion"/>
  <dataValidations count="1">
    <dataValidation type="list" allowBlank="1" showInputMessage="1" showErrorMessage="1" sqref="A2:B99" xr:uid="{C83BA314-13ED-4966-AA4A-66721758DA13}">
      <formula1>Pointlist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CB260-815A-4A15-9BD3-FA02F0F9EF91}">
  <dimension ref="A1:H100"/>
  <sheetViews>
    <sheetView tabSelected="1" zoomScale="102" zoomScaleNormal="102" workbookViewId="0">
      <selection activeCell="H2" sqref="H2"/>
    </sheetView>
  </sheetViews>
  <sheetFormatPr defaultRowHeight="16.2" x14ac:dyDescent="0.3"/>
  <cols>
    <col min="1" max="2" width="12.77734375" style="12" bestFit="1" customWidth="1"/>
    <col min="3" max="3" width="8.21875" style="12" bestFit="1" customWidth="1"/>
    <col min="4" max="4" width="7.5546875" style="12" customWidth="1"/>
    <col min="5" max="5" width="19" style="12" bestFit="1" customWidth="1"/>
    <col min="6" max="6" width="12.77734375" style="12" bestFit="1" customWidth="1"/>
    <col min="7" max="7" width="13.5546875" style="12" bestFit="1" customWidth="1"/>
  </cols>
  <sheetData>
    <row r="1" spans="1:8" ht="15" customHeight="1" x14ac:dyDescent="0.3">
      <c r="A1" s="4" t="s">
        <v>32</v>
      </c>
      <c r="B1" s="4" t="s">
        <v>52</v>
      </c>
      <c r="C1" s="24" t="s">
        <v>49</v>
      </c>
      <c r="D1" s="24" t="s">
        <v>50</v>
      </c>
      <c r="E1" s="24" t="s">
        <v>51</v>
      </c>
      <c r="F1" s="24" t="s">
        <v>48</v>
      </c>
      <c r="G1" s="4" t="s">
        <v>33</v>
      </c>
      <c r="H1" s="4" t="s">
        <v>53</v>
      </c>
    </row>
    <row r="2" spans="1:8" x14ac:dyDescent="0.3">
      <c r="A2" s="19">
        <f>'手簿 (Handbook)'!D2+'手簿 (Handbook)'!E2/60+'手簿 (Handbook)'!F2/3600</f>
        <v>124.27361111111111</v>
      </c>
      <c r="B2" s="19">
        <f>IF((A2+H2)&gt;360,(A2+H2)-360,(A2+H2))</f>
        <v>37.302229190225148</v>
      </c>
      <c r="C2" s="19">
        <f>_xlfn.XLOOKUP('手簿 (Handbook)'!B2,TB1Control[點號],TB1Control[E座標])-_xlfn.XLOOKUP('手簿 (Handbook)'!A2,TB1Control[點號],TB1Control[E座標])</f>
        <v>-48.820000000006985</v>
      </c>
      <c r="D2" s="19">
        <f>_xlfn.XLOOKUP('手簿 (Handbook)'!B2,TB1Control[點號],TB1Control[N座標])-_xlfn.XLOOKUP('手簿 (Handbook)'!A2,TB1Control[點號],TB1Control[N座標])</f>
        <v>2.5830000001005828</v>
      </c>
      <c r="E2" s="19">
        <f>C2/D2</f>
        <v>-18.900503290013905</v>
      </c>
      <c r="F2" s="19">
        <f>DEGREES(ATAN(E2))</f>
        <v>-86.971381920885975</v>
      </c>
      <c r="G2" s="19">
        <f>90-TB2Handbook[[#This Row],[天頂距(度)]]+TB2Handbook[[#This Row],[天頂距(分)]]/60+TB2Handbook[[#This Row],[天頂距(秒)]]/3600</f>
        <v>0.21861111111111112</v>
      </c>
      <c r="H2" s="34">
        <f>IF(AND(C2&gt;0,D2&gt;0),F2,IF(AND(C2&lt;0,D2&gt;0),F2+360,IF(AND(C2&lt;0,D2&lt;0),F2+180,IF(AND(C2&gt;0,D2&lt;0),F2-180))))</f>
        <v>273.02861807911404</v>
      </c>
    </row>
    <row r="3" spans="1:8" x14ac:dyDescent="0.3">
      <c r="A3" s="19">
        <f>'手簿 (Handbook)'!D3+'手簿 (Handbook)'!E3/60+'手簿 (Handbook)'!F3/3600</f>
        <v>152.26111111111112</v>
      </c>
      <c r="B3" s="19">
        <f t="shared" ref="B3:B66" si="0">IF((A3+H3)&gt;360,(A3+H3)-360,(A3+H3))</f>
        <v>65.28972919022516</v>
      </c>
      <c r="C3" s="19">
        <f>_xlfn.XLOOKUP('手簿 (Handbook)'!B3,TB1Control[點號],TB1Control[E座標])-_xlfn.XLOOKUP('手簿 (Handbook)'!A3,TB1Control[點號],TB1Control[E座標])</f>
        <v>-48.820000000006985</v>
      </c>
      <c r="D3" s="19">
        <f>_xlfn.XLOOKUP('手簿 (Handbook)'!B3,TB1Control[點號],TB1Control[N座標])-_xlfn.XLOOKUP('手簿 (Handbook)'!A3,TB1Control[點號],TB1Control[N座標])</f>
        <v>2.5830000001005828</v>
      </c>
      <c r="E3" s="19">
        <f t="shared" ref="E3:E66" si="1">C3/D3</f>
        <v>-18.900503290013905</v>
      </c>
      <c r="F3" s="19">
        <f t="shared" ref="F3:F66" si="2">DEGREES(ATAN(E3))</f>
        <v>-86.971381920885975</v>
      </c>
      <c r="G3" s="19">
        <f>90-TB2Handbook[[#This Row],[天頂距(度)]]+TB2Handbook[[#This Row],[天頂距(分)]]/60+TB2Handbook[[#This Row],[天頂距(秒)]]/3600</f>
        <v>-4.4383333333333335</v>
      </c>
      <c r="H3" s="34">
        <f t="shared" ref="H3:H66" si="3">IF(AND(C3&gt;0,D3&gt;0),F3,IF(AND(C3&lt;0,D3&gt;0),F3+360,IF(AND(C3&lt;0,D3&lt;0),F3+180,IF(AND(C3&gt;0,D3&lt;0),F3-180))))</f>
        <v>273.02861807911404</v>
      </c>
    </row>
    <row r="4" spans="1:8" x14ac:dyDescent="0.3">
      <c r="A4" s="19">
        <f>'手簿 (Handbook)'!D4+'手簿 (Handbook)'!E4/60+'手簿 (Handbook)'!F4/3600</f>
        <v>193.79583333333332</v>
      </c>
      <c r="B4" s="19">
        <f t="shared" si="0"/>
        <v>106.82445141244739</v>
      </c>
      <c r="C4" s="19">
        <f>_xlfn.XLOOKUP('手簿 (Handbook)'!B4,TB1Control[點號],TB1Control[E座標])-_xlfn.XLOOKUP('手簿 (Handbook)'!A4,TB1Control[點號],TB1Control[E座標])</f>
        <v>-48.820000000006985</v>
      </c>
      <c r="D4" s="19">
        <f>_xlfn.XLOOKUP('手簿 (Handbook)'!B4,TB1Control[點號],TB1Control[N座標])-_xlfn.XLOOKUP('手簿 (Handbook)'!A4,TB1Control[點號],TB1Control[N座標])</f>
        <v>2.5830000001005828</v>
      </c>
      <c r="E4" s="19">
        <f t="shared" si="1"/>
        <v>-18.900503290013905</v>
      </c>
      <c r="F4" s="19">
        <f t="shared" si="2"/>
        <v>-86.971381920885975</v>
      </c>
      <c r="G4" s="19">
        <f>90-TB2Handbook[[#This Row],[天頂距(度)]]+TB2Handbook[[#This Row],[天頂距(分)]]/60+TB2Handbook[[#This Row],[天頂距(秒)]]/3600</f>
        <v>-4.4688888888888894</v>
      </c>
      <c r="H4" s="34">
        <f t="shared" si="3"/>
        <v>273.02861807911404</v>
      </c>
    </row>
    <row r="5" spans="1:8" x14ac:dyDescent="0.3">
      <c r="A5" s="19">
        <f>'手簿 (Handbook)'!D5+'手簿 (Handbook)'!E5/60+'手簿 (Handbook)'!F5/3600</f>
        <v>157.49277777777777</v>
      </c>
      <c r="B5" s="19">
        <f t="shared" si="0"/>
        <v>70.521395856891786</v>
      </c>
      <c r="C5" s="19">
        <f>_xlfn.XLOOKUP('手簿 (Handbook)'!B5,TB1Control[點號],TB1Control[E座標])-_xlfn.XLOOKUP('手簿 (Handbook)'!A5,TB1Control[點號],TB1Control[E座標])</f>
        <v>-48.820000000006985</v>
      </c>
      <c r="D5" s="19">
        <f>_xlfn.XLOOKUP('手簿 (Handbook)'!B5,TB1Control[點號],TB1Control[N座標])-_xlfn.XLOOKUP('手簿 (Handbook)'!A5,TB1Control[點號],TB1Control[N座標])</f>
        <v>2.5830000001005828</v>
      </c>
      <c r="E5" s="19">
        <f t="shared" si="1"/>
        <v>-18.900503290013905</v>
      </c>
      <c r="F5" s="19">
        <f t="shared" si="2"/>
        <v>-86.971381920885975</v>
      </c>
      <c r="G5" s="19">
        <f>90-TB2Handbook[[#This Row],[天頂距(度)]]+TB2Handbook[[#This Row],[天頂距(分)]]/60+TB2Handbook[[#This Row],[天頂距(秒)]]/3600</f>
        <v>2.5613888888888887</v>
      </c>
      <c r="H5" s="34">
        <f t="shared" si="3"/>
        <v>273.02861807911404</v>
      </c>
    </row>
    <row r="6" spans="1:8" x14ac:dyDescent="0.3">
      <c r="A6" s="19">
        <f>'手簿 (Handbook)'!D6+'手簿 (Handbook)'!E6/60+'手簿 (Handbook)'!F6/3600</f>
        <v>157.49277777777777</v>
      </c>
      <c r="B6" s="19">
        <f t="shared" si="0"/>
        <v>70.521395856891786</v>
      </c>
      <c r="C6" s="19">
        <f>_xlfn.XLOOKUP('手簿 (Handbook)'!B6,TB1Control[點號],TB1Control[E座標])-_xlfn.XLOOKUP('手簿 (Handbook)'!A6,TB1Control[點號],TB1Control[E座標])</f>
        <v>-48.820000000006985</v>
      </c>
      <c r="D6" s="19">
        <f>_xlfn.XLOOKUP('手簿 (Handbook)'!B6,TB1Control[點號],TB1Control[N座標])-_xlfn.XLOOKUP('手簿 (Handbook)'!A6,TB1Control[點號],TB1Control[N座標])</f>
        <v>2.5830000001005828</v>
      </c>
      <c r="E6" s="19">
        <f t="shared" si="1"/>
        <v>-18.900503290013905</v>
      </c>
      <c r="F6" s="19">
        <f t="shared" si="2"/>
        <v>-86.971381920885975</v>
      </c>
      <c r="G6" s="19">
        <f>90-TB2Handbook[[#This Row],[天頂距(度)]]+TB2Handbook[[#This Row],[天頂距(分)]]/60+TB2Handbook[[#This Row],[天頂距(秒)]]/3600</f>
        <v>16.43</v>
      </c>
      <c r="H6" s="34">
        <f t="shared" si="3"/>
        <v>273.02861807911404</v>
      </c>
    </row>
    <row r="7" spans="1:8" x14ac:dyDescent="0.3">
      <c r="A7" s="19">
        <f>'手簿 (Handbook)'!D7+'手簿 (Handbook)'!E7/60+'手簿 (Handbook)'!F7/3600</f>
        <v>124.27361111111111</v>
      </c>
      <c r="B7" s="19">
        <f t="shared" si="0"/>
        <v>37.302229190225148</v>
      </c>
      <c r="C7" s="19">
        <f>_xlfn.XLOOKUP('手簿 (Handbook)'!B7,TB1Control[點號],TB1Control[E座標])-_xlfn.XLOOKUP('手簿 (Handbook)'!A7,TB1Control[點號],TB1Control[E座標])</f>
        <v>-48.820000000006985</v>
      </c>
      <c r="D7" s="19">
        <f>_xlfn.XLOOKUP('手簿 (Handbook)'!B7,TB1Control[點號],TB1Control[N座標])-_xlfn.XLOOKUP('手簿 (Handbook)'!A7,TB1Control[點號],TB1Control[N座標])</f>
        <v>2.5830000001005828</v>
      </c>
      <c r="E7" s="19">
        <f t="shared" si="1"/>
        <v>-18.900503290013905</v>
      </c>
      <c r="F7" s="19">
        <f t="shared" si="2"/>
        <v>-86.971381920885975</v>
      </c>
      <c r="G7" s="19">
        <f>90-TB2Handbook[[#This Row],[天頂距(度)]]+TB2Handbook[[#This Row],[天頂距(分)]]/60+TB2Handbook[[#This Row],[天頂距(秒)]]/3600</f>
        <v>26.977777777777778</v>
      </c>
      <c r="H7" s="34">
        <f t="shared" si="3"/>
        <v>273.02861807911404</v>
      </c>
    </row>
    <row r="8" spans="1:8" x14ac:dyDescent="0.3">
      <c r="A8" s="19">
        <f>'手簿 (Handbook)'!D8+'手簿 (Handbook)'!E8/60+'手簿 (Handbook)'!F8/3600</f>
        <v>190.24694444444444</v>
      </c>
      <c r="B8" s="19">
        <f t="shared" si="0"/>
        <v>103.27556252355851</v>
      </c>
      <c r="C8" s="19">
        <f>_xlfn.XLOOKUP('手簿 (Handbook)'!B8,TB1Control[點號],TB1Control[E座標])-_xlfn.XLOOKUP('手簿 (Handbook)'!A8,TB1Control[點號],TB1Control[E座標])</f>
        <v>-48.820000000006985</v>
      </c>
      <c r="D8" s="19">
        <f>_xlfn.XLOOKUP('手簿 (Handbook)'!B8,TB1Control[點號],TB1Control[N座標])-_xlfn.XLOOKUP('手簿 (Handbook)'!A8,TB1Control[點號],TB1Control[N座標])</f>
        <v>2.5830000001005828</v>
      </c>
      <c r="E8" s="19">
        <f t="shared" si="1"/>
        <v>-18.900503290013905</v>
      </c>
      <c r="F8" s="19">
        <f t="shared" si="2"/>
        <v>-86.971381920885975</v>
      </c>
      <c r="G8" s="19">
        <f>90-TB2Handbook[[#This Row],[天頂距(度)]]+TB2Handbook[[#This Row],[天頂距(分)]]/60+TB2Handbook[[#This Row],[天頂距(秒)]]/3600</f>
        <v>2.197222222222222</v>
      </c>
      <c r="H8" s="34">
        <f t="shared" si="3"/>
        <v>273.02861807911404</v>
      </c>
    </row>
    <row r="9" spans="1:8" x14ac:dyDescent="0.3">
      <c r="A9" s="19">
        <f>'手簿 (Handbook)'!D9+'手簿 (Handbook)'!E9/60+'手簿 (Handbook)'!F9/3600</f>
        <v>190.24694444444444</v>
      </c>
      <c r="B9" s="19">
        <f t="shared" si="0"/>
        <v>103.27556252355851</v>
      </c>
      <c r="C9" s="19">
        <f>_xlfn.XLOOKUP('手簿 (Handbook)'!B9,TB1Control[點號],TB1Control[E座標])-_xlfn.XLOOKUP('手簿 (Handbook)'!A9,TB1Control[點號],TB1Control[E座標])</f>
        <v>-48.820000000006985</v>
      </c>
      <c r="D9" s="19">
        <f>_xlfn.XLOOKUP('手簿 (Handbook)'!B9,TB1Control[點號],TB1Control[N座標])-_xlfn.XLOOKUP('手簿 (Handbook)'!A9,TB1Control[點號],TB1Control[N座標])</f>
        <v>2.5830000001005828</v>
      </c>
      <c r="E9" s="19">
        <f t="shared" si="1"/>
        <v>-18.900503290013905</v>
      </c>
      <c r="F9" s="19">
        <f t="shared" si="2"/>
        <v>-86.971381920885975</v>
      </c>
      <c r="G9" s="19">
        <f>90-TB2Handbook[[#This Row],[天頂距(度)]]+TB2Handbook[[#This Row],[天頂距(分)]]/60+TB2Handbook[[#This Row],[天頂距(秒)]]/3600</f>
        <v>17.850555555555555</v>
      </c>
      <c r="H9" s="34">
        <f t="shared" si="3"/>
        <v>273.02861807911404</v>
      </c>
    </row>
    <row r="10" spans="1:8" x14ac:dyDescent="0.3">
      <c r="A10" s="19">
        <f>'手簿 (Handbook)'!D10+'手簿 (Handbook)'!E10/60+'手簿 (Handbook)'!F10/3600</f>
        <v>164.39972222222221</v>
      </c>
      <c r="B10" s="19">
        <f t="shared" si="0"/>
        <v>77.42834030133622</v>
      </c>
      <c r="C10" s="19">
        <f>_xlfn.XLOOKUP('手簿 (Handbook)'!B10,TB1Control[點號],TB1Control[E座標])-_xlfn.XLOOKUP('手簿 (Handbook)'!A10,TB1Control[點號],TB1Control[E座標])</f>
        <v>-48.820000000006985</v>
      </c>
      <c r="D10" s="19">
        <f>_xlfn.XLOOKUP('手簿 (Handbook)'!B10,TB1Control[點號],TB1Control[N座標])-_xlfn.XLOOKUP('手簿 (Handbook)'!A10,TB1Control[點號],TB1Control[N座標])</f>
        <v>2.5830000001005828</v>
      </c>
      <c r="E10" s="19">
        <f t="shared" si="1"/>
        <v>-18.900503290013905</v>
      </c>
      <c r="F10" s="19">
        <f t="shared" si="2"/>
        <v>-86.971381920885975</v>
      </c>
      <c r="G10" s="19">
        <f>90-TB2Handbook[[#This Row],[天頂距(度)]]+TB2Handbook[[#This Row],[天頂距(分)]]/60+TB2Handbook[[#This Row],[天頂距(秒)]]/3600</f>
        <v>2.2130555555555556</v>
      </c>
      <c r="H10" s="34">
        <f t="shared" si="3"/>
        <v>273.02861807911404</v>
      </c>
    </row>
    <row r="11" spans="1:8" x14ac:dyDescent="0.3">
      <c r="A11" s="19">
        <f>'手簿 (Handbook)'!D11+'手簿 (Handbook)'!E11/60+'手簿 (Handbook)'!F11/3600</f>
        <v>164.39972222222221</v>
      </c>
      <c r="B11" s="19">
        <f t="shared" si="0"/>
        <v>77.42834030133622</v>
      </c>
      <c r="C11" s="19">
        <f>_xlfn.XLOOKUP('手簿 (Handbook)'!B11,TB1Control[點號],TB1Control[E座標])-_xlfn.XLOOKUP('手簿 (Handbook)'!A11,TB1Control[點號],TB1Control[E座標])</f>
        <v>-48.820000000006985</v>
      </c>
      <c r="D11" s="19">
        <f>_xlfn.XLOOKUP('手簿 (Handbook)'!B11,TB1Control[點號],TB1Control[N座標])-_xlfn.XLOOKUP('手簿 (Handbook)'!A11,TB1Control[點號],TB1Control[N座標])</f>
        <v>2.5830000001005828</v>
      </c>
      <c r="E11" s="19">
        <f t="shared" si="1"/>
        <v>-18.900503290013905</v>
      </c>
      <c r="F11" s="19">
        <f t="shared" si="2"/>
        <v>-86.971381920885975</v>
      </c>
      <c r="G11" s="19">
        <f>90-TB2Handbook[[#This Row],[天頂距(度)]]+TB2Handbook[[#This Row],[天頂距(分)]]/60+TB2Handbook[[#This Row],[天頂距(秒)]]/3600</f>
        <v>7.6755555555555555</v>
      </c>
      <c r="H11" s="34">
        <f t="shared" si="3"/>
        <v>273.02861807911404</v>
      </c>
    </row>
    <row r="12" spans="1:8" x14ac:dyDescent="0.3">
      <c r="A12" s="19">
        <f>'手簿 (Handbook)'!D12+'手簿 (Handbook)'!E12/60+'手簿 (Handbook)'!F12/3600</f>
        <v>183.01333333333332</v>
      </c>
      <c r="B12" s="19">
        <f t="shared" si="0"/>
        <v>96.041951412447361</v>
      </c>
      <c r="C12" s="19">
        <f>_xlfn.XLOOKUP('手簿 (Handbook)'!B12,TB1Control[點號],TB1Control[E座標])-_xlfn.XLOOKUP('手簿 (Handbook)'!A12,TB1Control[點號],TB1Control[E座標])</f>
        <v>-48.820000000006985</v>
      </c>
      <c r="D12" s="19">
        <f>_xlfn.XLOOKUP('手簿 (Handbook)'!B12,TB1Control[點號],TB1Control[N座標])-_xlfn.XLOOKUP('手簿 (Handbook)'!A12,TB1Control[點號],TB1Control[N座標])</f>
        <v>2.5830000001005828</v>
      </c>
      <c r="E12" s="19">
        <f t="shared" si="1"/>
        <v>-18.900503290013905</v>
      </c>
      <c r="F12" s="19">
        <f t="shared" si="2"/>
        <v>-86.971381920885975</v>
      </c>
      <c r="G12" s="19">
        <f>90-TB2Handbook[[#This Row],[天頂距(度)]]+TB2Handbook[[#This Row],[天頂距(分)]]/60+TB2Handbook[[#This Row],[天頂距(秒)]]/3600</f>
        <v>2.1791666666666667</v>
      </c>
      <c r="H12" s="34">
        <f t="shared" si="3"/>
        <v>273.02861807911404</v>
      </c>
    </row>
    <row r="13" spans="1:8" x14ac:dyDescent="0.3">
      <c r="A13" s="19">
        <f>'手簿 (Handbook)'!D13+'手簿 (Handbook)'!E13/60+'手簿 (Handbook)'!F13/3600</f>
        <v>183.01333333333332</v>
      </c>
      <c r="B13" s="19">
        <f t="shared" si="0"/>
        <v>96.041951412447361</v>
      </c>
      <c r="C13" s="19">
        <f>_xlfn.XLOOKUP('手簿 (Handbook)'!B13,TB1Control[點號],TB1Control[E座標])-_xlfn.XLOOKUP('手簿 (Handbook)'!A13,TB1Control[點號],TB1Control[E座標])</f>
        <v>-48.820000000006985</v>
      </c>
      <c r="D13" s="19">
        <f>_xlfn.XLOOKUP('手簿 (Handbook)'!B13,TB1Control[點號],TB1Control[N座標])-_xlfn.XLOOKUP('手簿 (Handbook)'!A13,TB1Control[點號],TB1Control[N座標])</f>
        <v>2.5830000001005828</v>
      </c>
      <c r="E13" s="19">
        <f t="shared" si="1"/>
        <v>-18.900503290013905</v>
      </c>
      <c r="F13" s="19">
        <f t="shared" si="2"/>
        <v>-86.971381920885975</v>
      </c>
      <c r="G13" s="19">
        <f>90-TB2Handbook[[#This Row],[天頂距(度)]]+TB2Handbook[[#This Row],[天頂距(分)]]/60+TB2Handbook[[#This Row],[天頂距(秒)]]/3600</f>
        <v>7.4894444444444446</v>
      </c>
      <c r="H13" s="34">
        <f t="shared" si="3"/>
        <v>273.02861807911404</v>
      </c>
    </row>
    <row r="14" spans="1:8" x14ac:dyDescent="0.3">
      <c r="A14" s="19">
        <f>'手簿 (Handbook)'!D14+'手簿 (Handbook)'!E14/60+'手簿 (Handbook)'!F14/3600</f>
        <v>38.115277777777777</v>
      </c>
      <c r="B14" s="19">
        <f t="shared" si="0"/>
        <v>33.198711771795161</v>
      </c>
      <c r="C14" s="19">
        <f>_xlfn.XLOOKUP('手簿 (Handbook)'!B14,TB1Control[點號],TB1Control[E座標])-_xlfn.XLOOKUP('手簿 (Handbook)'!A14,TB1Control[點號],TB1Control[E座標])</f>
        <v>-4.1279999999678694</v>
      </c>
      <c r="D14" s="19">
        <f>_xlfn.XLOOKUP('手簿 (Handbook)'!B14,TB1Control[點號],TB1Control[N座標])-_xlfn.XLOOKUP('手簿 (Handbook)'!A14,TB1Control[點號],TB1Control[N座標])</f>
        <v>47.987999999895692</v>
      </c>
      <c r="E14" s="19">
        <f t="shared" si="1"/>
        <v>-8.6021505375861507E-2</v>
      </c>
      <c r="F14" s="19">
        <f t="shared" si="2"/>
        <v>-4.9165660059825731</v>
      </c>
      <c r="G14" s="19">
        <f>90-TB2Handbook[[#This Row],[天頂距(度)]]+TB2Handbook[[#This Row],[天頂距(分)]]/60+TB2Handbook[[#This Row],[天頂距(秒)]]/3600</f>
        <v>1.3711111111111112</v>
      </c>
      <c r="H14" s="34">
        <f t="shared" si="3"/>
        <v>355.08343399401741</v>
      </c>
    </row>
    <row r="15" spans="1:8" x14ac:dyDescent="0.3">
      <c r="A15" s="19">
        <f>'手簿 (Handbook)'!D15+'手簿 (Handbook)'!E15/60+'手簿 (Handbook)'!F15/3600</f>
        <v>38.115277777777777</v>
      </c>
      <c r="B15" s="19">
        <f t="shared" si="0"/>
        <v>33.198711771795161</v>
      </c>
      <c r="C15" s="19">
        <f>_xlfn.XLOOKUP('手簿 (Handbook)'!B15,TB1Control[點號],TB1Control[E座標])-_xlfn.XLOOKUP('手簿 (Handbook)'!A15,TB1Control[點號],TB1Control[E座標])</f>
        <v>-4.1279999999678694</v>
      </c>
      <c r="D15" s="19">
        <f>_xlfn.XLOOKUP('手簿 (Handbook)'!B15,TB1Control[點號],TB1Control[N座標])-_xlfn.XLOOKUP('手簿 (Handbook)'!A15,TB1Control[點號],TB1Control[N座標])</f>
        <v>47.987999999895692</v>
      </c>
      <c r="E15" s="19">
        <f t="shared" si="1"/>
        <v>-8.6021505375861507E-2</v>
      </c>
      <c r="F15" s="19">
        <f t="shared" si="2"/>
        <v>-4.9165660059825731</v>
      </c>
      <c r="G15" s="19">
        <f>90-TB2Handbook[[#This Row],[天頂距(度)]]+TB2Handbook[[#This Row],[天頂距(分)]]/60+TB2Handbook[[#This Row],[天頂距(秒)]]/3600</f>
        <v>29.195</v>
      </c>
      <c r="H15" s="34">
        <f t="shared" si="3"/>
        <v>355.08343399401741</v>
      </c>
    </row>
    <row r="16" spans="1:8" x14ac:dyDescent="0.3">
      <c r="A16" s="19">
        <f>'手簿 (Handbook)'!D16+'手簿 (Handbook)'!E16/60+'手簿 (Handbook)'!F16/3600</f>
        <v>82.962222222222223</v>
      </c>
      <c r="B16" s="19">
        <f t="shared" si="0"/>
        <v>348.0475688911165</v>
      </c>
      <c r="C16" s="19">
        <f>_xlfn.XLOOKUP('手簿 (Handbook)'!B16,TB1Control[點號],TB1Control[E座標])-_xlfn.XLOOKUP('手簿 (Handbook)'!A16,TB1Control[點號],TB1Control[E座標])</f>
        <v>-51.798000000009779</v>
      </c>
      <c r="D16" s="19">
        <f>_xlfn.XLOOKUP('手簿 (Handbook)'!B16,TB1Control[點號],TB1Control[N座標])-_xlfn.XLOOKUP('手簿 (Handbook)'!A16,TB1Control[點號],TB1Control[N座標])</f>
        <v>-4.453999999910593</v>
      </c>
      <c r="E16" s="19">
        <f t="shared" si="1"/>
        <v>11.629546475314221</v>
      </c>
      <c r="F16" s="19">
        <f t="shared" si="2"/>
        <v>85.085346668894275</v>
      </c>
      <c r="G16" s="19">
        <f>90-TB2Handbook[[#This Row],[天頂距(度)]]+TB2Handbook[[#This Row],[天頂距(分)]]/60+TB2Handbook[[#This Row],[天頂距(秒)]]/3600</f>
        <v>3.9750000000000001</v>
      </c>
      <c r="H16" s="34">
        <f t="shared" si="3"/>
        <v>265.08534666889426</v>
      </c>
    </row>
    <row r="17" spans="1:8" x14ac:dyDescent="0.3">
      <c r="A17" s="19">
        <f>'手簿 (Handbook)'!D17+'手簿 (Handbook)'!E17/60+'手簿 (Handbook)'!F17/3600</f>
        <v>84.975000000000009</v>
      </c>
      <c r="B17" s="19">
        <f t="shared" si="0"/>
        <v>350.06034666889428</v>
      </c>
      <c r="C17" s="19">
        <f>_xlfn.XLOOKUP('手簿 (Handbook)'!B17,TB1Control[點號],TB1Control[E座標])-_xlfn.XLOOKUP('手簿 (Handbook)'!A17,TB1Control[點號],TB1Control[E座標])</f>
        <v>-51.798000000009779</v>
      </c>
      <c r="D17" s="19">
        <f>_xlfn.XLOOKUP('手簿 (Handbook)'!B17,TB1Control[點號],TB1Control[N座標])-_xlfn.XLOOKUP('手簿 (Handbook)'!A17,TB1Control[點號],TB1Control[N座標])</f>
        <v>-4.453999999910593</v>
      </c>
      <c r="E17" s="19">
        <f t="shared" si="1"/>
        <v>11.629546475314221</v>
      </c>
      <c r="F17" s="19">
        <f t="shared" si="2"/>
        <v>85.085346668894275</v>
      </c>
      <c r="G17" s="19">
        <f>90-TB2Handbook[[#This Row],[天頂距(度)]]+TB2Handbook[[#This Row],[天頂距(分)]]/60+TB2Handbook[[#This Row],[天頂距(秒)]]/3600</f>
        <v>2.2777777777777777</v>
      </c>
      <c r="H17" s="34">
        <f t="shared" si="3"/>
        <v>265.08534666889426</v>
      </c>
    </row>
    <row r="18" spans="1:8" x14ac:dyDescent="0.3">
      <c r="A18" s="19">
        <f>'手簿 (Handbook)'!D18+'手簿 (Handbook)'!E18/60+'手簿 (Handbook)'!F18/3600</f>
        <v>100.77166666666666</v>
      </c>
      <c r="B18" s="19">
        <f t="shared" si="0"/>
        <v>5.8570133355609073</v>
      </c>
      <c r="C18" s="19">
        <f>_xlfn.XLOOKUP('手簿 (Handbook)'!B18,TB1Control[點號],TB1Control[E座標])-_xlfn.XLOOKUP('手簿 (Handbook)'!A18,TB1Control[點號],TB1Control[E座標])</f>
        <v>-51.798000000009779</v>
      </c>
      <c r="D18" s="19">
        <f>_xlfn.XLOOKUP('手簿 (Handbook)'!B18,TB1Control[點號],TB1Control[N座標])-_xlfn.XLOOKUP('手簿 (Handbook)'!A18,TB1Control[點號],TB1Control[N座標])</f>
        <v>-4.453999999910593</v>
      </c>
      <c r="E18" s="19">
        <f t="shared" si="1"/>
        <v>11.629546475314221</v>
      </c>
      <c r="F18" s="19">
        <f t="shared" si="2"/>
        <v>85.085346668894275</v>
      </c>
      <c r="G18" s="19">
        <f>90-TB2Handbook[[#This Row],[天頂距(度)]]+TB2Handbook[[#This Row],[天頂距(分)]]/60+TB2Handbook[[#This Row],[天頂距(秒)]]/3600</f>
        <v>2.2827777777777776</v>
      </c>
      <c r="H18" s="34">
        <f t="shared" si="3"/>
        <v>265.08534666889426</v>
      </c>
    </row>
    <row r="19" spans="1:8" x14ac:dyDescent="0.3">
      <c r="A19" s="19">
        <f>'手簿 (Handbook)'!D19+'手簿 (Handbook)'!E19/60+'手簿 (Handbook)'!F19/3600</f>
        <v>0</v>
      </c>
      <c r="B19" s="19" t="e">
        <f t="shared" si="0"/>
        <v>#N/A</v>
      </c>
      <c r="C19" s="19" t="e">
        <f>_xlfn.XLOOKUP('手簿 (Handbook)'!B19,TB1Control[點號],TB1Control[E座標])-_xlfn.XLOOKUP('手簿 (Handbook)'!A19,TB1Control[點號],TB1Control[E座標])</f>
        <v>#N/A</v>
      </c>
      <c r="D19" s="19" t="e">
        <f>_xlfn.XLOOKUP('手簿 (Handbook)'!B19,TB1Control[點號],TB1Control[N座標])-_xlfn.XLOOKUP('手簿 (Handbook)'!A19,TB1Control[點號],TB1Control[N座標])</f>
        <v>#N/A</v>
      </c>
      <c r="E19" s="19" t="e">
        <f t="shared" si="1"/>
        <v>#N/A</v>
      </c>
      <c r="F19" s="19" t="e">
        <f t="shared" si="2"/>
        <v>#N/A</v>
      </c>
      <c r="G19" s="19">
        <f>90-TB2Handbook[[#This Row],[天頂距(度)]]+TB2Handbook[[#This Row],[天頂距(分)]]/60+TB2Handbook[[#This Row],[天頂距(秒)]]/3600</f>
        <v>90</v>
      </c>
      <c r="H19" s="34" t="e">
        <f t="shared" si="3"/>
        <v>#N/A</v>
      </c>
    </row>
    <row r="20" spans="1:8" x14ac:dyDescent="0.3">
      <c r="A20" s="19">
        <f>'手簿 (Handbook)'!D20+'手簿 (Handbook)'!E20/60+'手簿 (Handbook)'!F20/3600</f>
        <v>0</v>
      </c>
      <c r="B20" s="19" t="e">
        <f t="shared" si="0"/>
        <v>#N/A</v>
      </c>
      <c r="C20" s="19" t="e">
        <f>_xlfn.XLOOKUP('手簿 (Handbook)'!B20,TB1Control[點號],TB1Control[E座標])-_xlfn.XLOOKUP('手簿 (Handbook)'!A20,TB1Control[點號],TB1Control[E座標])</f>
        <v>#N/A</v>
      </c>
      <c r="D20" s="19" t="e">
        <f>_xlfn.XLOOKUP('手簿 (Handbook)'!B20,TB1Control[點號],TB1Control[N座標])-_xlfn.XLOOKUP('手簿 (Handbook)'!A20,TB1Control[點號],TB1Control[N座標])</f>
        <v>#N/A</v>
      </c>
      <c r="E20" s="19" t="e">
        <f t="shared" si="1"/>
        <v>#N/A</v>
      </c>
      <c r="F20" s="19" t="e">
        <f t="shared" si="2"/>
        <v>#N/A</v>
      </c>
      <c r="G20" s="19">
        <f>90-TB2Handbook[[#This Row],[天頂距(度)]]+TB2Handbook[[#This Row],[天頂距(分)]]/60+TB2Handbook[[#This Row],[天頂距(秒)]]/3600</f>
        <v>90</v>
      </c>
      <c r="H20" s="34" t="e">
        <f t="shared" si="3"/>
        <v>#N/A</v>
      </c>
    </row>
    <row r="21" spans="1:8" x14ac:dyDescent="0.3">
      <c r="A21" s="19">
        <f>'手簿 (Handbook)'!D21+'手簿 (Handbook)'!E21/60+'手簿 (Handbook)'!F21/3600</f>
        <v>0</v>
      </c>
      <c r="B21" s="19" t="e">
        <f t="shared" si="0"/>
        <v>#N/A</v>
      </c>
      <c r="C21" s="19" t="e">
        <f>_xlfn.XLOOKUP('手簿 (Handbook)'!B21,TB1Control[點號],TB1Control[E座標])-_xlfn.XLOOKUP('手簿 (Handbook)'!A21,TB1Control[點號],TB1Control[E座標])</f>
        <v>#N/A</v>
      </c>
      <c r="D21" s="19" t="e">
        <f>_xlfn.XLOOKUP('手簿 (Handbook)'!B21,TB1Control[點號],TB1Control[N座標])-_xlfn.XLOOKUP('手簿 (Handbook)'!A21,TB1Control[點號],TB1Control[N座標])</f>
        <v>#N/A</v>
      </c>
      <c r="E21" s="19" t="e">
        <f t="shared" si="1"/>
        <v>#N/A</v>
      </c>
      <c r="F21" s="19" t="e">
        <f t="shared" si="2"/>
        <v>#N/A</v>
      </c>
      <c r="G21" s="19">
        <f>90-TB2Handbook[[#This Row],[天頂距(度)]]+TB2Handbook[[#This Row],[天頂距(分)]]/60+TB2Handbook[[#This Row],[天頂距(秒)]]/3600</f>
        <v>90</v>
      </c>
      <c r="H21" s="34" t="e">
        <f t="shared" si="3"/>
        <v>#N/A</v>
      </c>
    </row>
    <row r="22" spans="1:8" x14ac:dyDescent="0.3">
      <c r="A22" s="19">
        <f>'手簿 (Handbook)'!D22+'手簿 (Handbook)'!E22/60+'手簿 (Handbook)'!F22/3600</f>
        <v>0</v>
      </c>
      <c r="B22" s="19" t="e">
        <f t="shared" si="0"/>
        <v>#N/A</v>
      </c>
      <c r="C22" s="19" t="e">
        <f>_xlfn.XLOOKUP('手簿 (Handbook)'!B22,TB1Control[點號],TB1Control[E座標])-_xlfn.XLOOKUP('手簿 (Handbook)'!A22,TB1Control[點號],TB1Control[E座標])</f>
        <v>#N/A</v>
      </c>
      <c r="D22" s="19" t="e">
        <f>_xlfn.XLOOKUP('手簿 (Handbook)'!B22,TB1Control[點號],TB1Control[N座標])-_xlfn.XLOOKUP('手簿 (Handbook)'!A22,TB1Control[點號],TB1Control[N座標])</f>
        <v>#N/A</v>
      </c>
      <c r="E22" s="19" t="e">
        <f t="shared" si="1"/>
        <v>#N/A</v>
      </c>
      <c r="F22" s="19" t="e">
        <f t="shared" si="2"/>
        <v>#N/A</v>
      </c>
      <c r="G22" s="19">
        <f>90-TB2Handbook[[#This Row],[天頂距(度)]]+TB2Handbook[[#This Row],[天頂距(分)]]/60+TB2Handbook[[#This Row],[天頂距(秒)]]/3600</f>
        <v>90</v>
      </c>
      <c r="H22" s="34" t="e">
        <f t="shared" si="3"/>
        <v>#N/A</v>
      </c>
    </row>
    <row r="23" spans="1:8" x14ac:dyDescent="0.3">
      <c r="A23" s="19">
        <f>'手簿 (Handbook)'!D23+'手簿 (Handbook)'!E23/60+'手簿 (Handbook)'!F23/3600</f>
        <v>0</v>
      </c>
      <c r="B23" s="19" t="e">
        <f t="shared" si="0"/>
        <v>#N/A</v>
      </c>
      <c r="C23" s="19" t="e">
        <f>_xlfn.XLOOKUP('手簿 (Handbook)'!B23,TB1Control[點號],TB1Control[E座標])-_xlfn.XLOOKUP('手簿 (Handbook)'!A23,TB1Control[點號],TB1Control[E座標])</f>
        <v>#N/A</v>
      </c>
      <c r="D23" s="19" t="e">
        <f>_xlfn.XLOOKUP('手簿 (Handbook)'!B23,TB1Control[點號],TB1Control[N座標])-_xlfn.XLOOKUP('手簿 (Handbook)'!A23,TB1Control[點號],TB1Control[N座標])</f>
        <v>#N/A</v>
      </c>
      <c r="E23" s="19" t="e">
        <f t="shared" si="1"/>
        <v>#N/A</v>
      </c>
      <c r="F23" s="19" t="e">
        <f t="shared" si="2"/>
        <v>#N/A</v>
      </c>
      <c r="G23" s="19">
        <f>90-TB2Handbook[[#This Row],[天頂距(度)]]+TB2Handbook[[#This Row],[天頂距(分)]]/60+TB2Handbook[[#This Row],[天頂距(秒)]]/3600</f>
        <v>90</v>
      </c>
      <c r="H23" s="34" t="e">
        <f t="shared" si="3"/>
        <v>#N/A</v>
      </c>
    </row>
    <row r="24" spans="1:8" x14ac:dyDescent="0.3">
      <c r="A24" s="19">
        <f>'手簿 (Handbook)'!D24+'手簿 (Handbook)'!E24/60+'手簿 (Handbook)'!F24/3600</f>
        <v>0</v>
      </c>
      <c r="B24" s="19" t="e">
        <f t="shared" si="0"/>
        <v>#N/A</v>
      </c>
      <c r="C24" s="19" t="e">
        <f>_xlfn.XLOOKUP('手簿 (Handbook)'!B24,TB1Control[點號],TB1Control[E座標])-_xlfn.XLOOKUP('手簿 (Handbook)'!A24,TB1Control[點號],TB1Control[E座標])</f>
        <v>#N/A</v>
      </c>
      <c r="D24" s="19" t="e">
        <f>_xlfn.XLOOKUP('手簿 (Handbook)'!B24,TB1Control[點號],TB1Control[N座標])-_xlfn.XLOOKUP('手簿 (Handbook)'!A24,TB1Control[點號],TB1Control[N座標])</f>
        <v>#N/A</v>
      </c>
      <c r="E24" s="19" t="e">
        <f t="shared" si="1"/>
        <v>#N/A</v>
      </c>
      <c r="F24" s="19" t="e">
        <f t="shared" si="2"/>
        <v>#N/A</v>
      </c>
      <c r="G24" s="19">
        <f>90-TB2Handbook[[#This Row],[天頂距(度)]]+TB2Handbook[[#This Row],[天頂距(分)]]/60+TB2Handbook[[#This Row],[天頂距(秒)]]/3600</f>
        <v>90</v>
      </c>
      <c r="H24" s="34" t="e">
        <f t="shared" si="3"/>
        <v>#N/A</v>
      </c>
    </row>
    <row r="25" spans="1:8" x14ac:dyDescent="0.3">
      <c r="A25" s="19">
        <f>'手簿 (Handbook)'!D25+'手簿 (Handbook)'!E25/60+'手簿 (Handbook)'!F25/3600</f>
        <v>0</v>
      </c>
      <c r="B25" s="19" t="e">
        <f t="shared" si="0"/>
        <v>#N/A</v>
      </c>
      <c r="C25" s="19" t="e">
        <f>_xlfn.XLOOKUP('手簿 (Handbook)'!B25,TB1Control[點號],TB1Control[E座標])-_xlfn.XLOOKUP('手簿 (Handbook)'!A25,TB1Control[點號],TB1Control[E座標])</f>
        <v>#N/A</v>
      </c>
      <c r="D25" s="19" t="e">
        <f>_xlfn.XLOOKUP('手簿 (Handbook)'!B25,TB1Control[點號],TB1Control[N座標])-_xlfn.XLOOKUP('手簿 (Handbook)'!A25,TB1Control[點號],TB1Control[N座標])</f>
        <v>#N/A</v>
      </c>
      <c r="E25" s="19" t="e">
        <f t="shared" si="1"/>
        <v>#N/A</v>
      </c>
      <c r="F25" s="19" t="e">
        <f t="shared" si="2"/>
        <v>#N/A</v>
      </c>
      <c r="G25" s="19">
        <f>90-TB2Handbook[[#This Row],[天頂距(度)]]+TB2Handbook[[#This Row],[天頂距(分)]]/60+TB2Handbook[[#This Row],[天頂距(秒)]]/3600</f>
        <v>90</v>
      </c>
      <c r="H25" s="34" t="e">
        <f t="shared" si="3"/>
        <v>#N/A</v>
      </c>
    </row>
    <row r="26" spans="1:8" x14ac:dyDescent="0.3">
      <c r="A26" s="19">
        <f>'手簿 (Handbook)'!D26+'手簿 (Handbook)'!E26/60+'手簿 (Handbook)'!F26/3600</f>
        <v>0</v>
      </c>
      <c r="B26" s="19" t="e">
        <f t="shared" si="0"/>
        <v>#N/A</v>
      </c>
      <c r="C26" s="19" t="e">
        <f>_xlfn.XLOOKUP('手簿 (Handbook)'!B26,TB1Control[點號],TB1Control[E座標])-_xlfn.XLOOKUP('手簿 (Handbook)'!A26,TB1Control[點號],TB1Control[E座標])</f>
        <v>#N/A</v>
      </c>
      <c r="D26" s="19" t="e">
        <f>_xlfn.XLOOKUP('手簿 (Handbook)'!B26,TB1Control[點號],TB1Control[N座標])-_xlfn.XLOOKUP('手簿 (Handbook)'!A26,TB1Control[點號],TB1Control[N座標])</f>
        <v>#N/A</v>
      </c>
      <c r="E26" s="19" t="e">
        <f t="shared" si="1"/>
        <v>#N/A</v>
      </c>
      <c r="F26" s="19" t="e">
        <f t="shared" si="2"/>
        <v>#N/A</v>
      </c>
      <c r="G26" s="19">
        <f>90-TB2Handbook[[#This Row],[天頂距(度)]]+TB2Handbook[[#This Row],[天頂距(分)]]/60+TB2Handbook[[#This Row],[天頂距(秒)]]/3600</f>
        <v>90</v>
      </c>
      <c r="H26" s="34" t="e">
        <f t="shared" si="3"/>
        <v>#N/A</v>
      </c>
    </row>
    <row r="27" spans="1:8" x14ac:dyDescent="0.3">
      <c r="A27" s="19">
        <f>'手簿 (Handbook)'!D27+'手簿 (Handbook)'!E27/60+'手簿 (Handbook)'!F27/3600</f>
        <v>0</v>
      </c>
      <c r="B27" s="19" t="e">
        <f t="shared" si="0"/>
        <v>#N/A</v>
      </c>
      <c r="C27" s="19" t="e">
        <f>_xlfn.XLOOKUP('手簿 (Handbook)'!B27,TB1Control[點號],TB1Control[E座標])-_xlfn.XLOOKUP('手簿 (Handbook)'!A27,TB1Control[點號],TB1Control[E座標])</f>
        <v>#N/A</v>
      </c>
      <c r="D27" s="19" t="e">
        <f>_xlfn.XLOOKUP('手簿 (Handbook)'!B27,TB1Control[點號],TB1Control[N座標])-_xlfn.XLOOKUP('手簿 (Handbook)'!A27,TB1Control[點號],TB1Control[N座標])</f>
        <v>#N/A</v>
      </c>
      <c r="E27" s="19" t="e">
        <f t="shared" si="1"/>
        <v>#N/A</v>
      </c>
      <c r="F27" s="19" t="e">
        <f t="shared" si="2"/>
        <v>#N/A</v>
      </c>
      <c r="G27" s="19">
        <f>90-TB2Handbook[[#This Row],[天頂距(度)]]+TB2Handbook[[#This Row],[天頂距(分)]]/60+TB2Handbook[[#This Row],[天頂距(秒)]]/3600</f>
        <v>90</v>
      </c>
      <c r="H27" s="34" t="e">
        <f t="shared" si="3"/>
        <v>#N/A</v>
      </c>
    </row>
    <row r="28" spans="1:8" x14ac:dyDescent="0.3">
      <c r="A28" s="19">
        <f>'手簿 (Handbook)'!D28+'手簿 (Handbook)'!E28/60+'手簿 (Handbook)'!F28/3600</f>
        <v>0</v>
      </c>
      <c r="B28" s="19" t="e">
        <f t="shared" si="0"/>
        <v>#N/A</v>
      </c>
      <c r="C28" s="19" t="e">
        <f>_xlfn.XLOOKUP('手簿 (Handbook)'!B28,TB1Control[點號],TB1Control[E座標])-_xlfn.XLOOKUP('手簿 (Handbook)'!A28,TB1Control[點號],TB1Control[E座標])</f>
        <v>#N/A</v>
      </c>
      <c r="D28" s="19" t="e">
        <f>_xlfn.XLOOKUP('手簿 (Handbook)'!B28,TB1Control[點號],TB1Control[N座標])-_xlfn.XLOOKUP('手簿 (Handbook)'!A28,TB1Control[點號],TB1Control[N座標])</f>
        <v>#N/A</v>
      </c>
      <c r="E28" s="19" t="e">
        <f t="shared" si="1"/>
        <v>#N/A</v>
      </c>
      <c r="F28" s="19" t="e">
        <f t="shared" si="2"/>
        <v>#N/A</v>
      </c>
      <c r="G28" s="19">
        <f>90-TB2Handbook[[#This Row],[天頂距(度)]]+TB2Handbook[[#This Row],[天頂距(分)]]/60+TB2Handbook[[#This Row],[天頂距(秒)]]/3600</f>
        <v>90</v>
      </c>
      <c r="H28" s="34" t="e">
        <f t="shared" si="3"/>
        <v>#N/A</v>
      </c>
    </row>
    <row r="29" spans="1:8" x14ac:dyDescent="0.3">
      <c r="A29" s="19">
        <f>'手簿 (Handbook)'!D29+'手簿 (Handbook)'!E29/60+'手簿 (Handbook)'!F29/3600</f>
        <v>0</v>
      </c>
      <c r="B29" s="19" t="e">
        <f t="shared" si="0"/>
        <v>#N/A</v>
      </c>
      <c r="C29" s="19" t="e">
        <f>_xlfn.XLOOKUP('手簿 (Handbook)'!B29,TB1Control[點號],TB1Control[E座標])-_xlfn.XLOOKUP('手簿 (Handbook)'!A29,TB1Control[點號],TB1Control[E座標])</f>
        <v>#N/A</v>
      </c>
      <c r="D29" s="19" t="e">
        <f>_xlfn.XLOOKUP('手簿 (Handbook)'!B29,TB1Control[點號],TB1Control[N座標])-_xlfn.XLOOKUP('手簿 (Handbook)'!A29,TB1Control[點號],TB1Control[N座標])</f>
        <v>#N/A</v>
      </c>
      <c r="E29" s="19" t="e">
        <f t="shared" si="1"/>
        <v>#N/A</v>
      </c>
      <c r="F29" s="19" t="e">
        <f t="shared" si="2"/>
        <v>#N/A</v>
      </c>
      <c r="G29" s="19">
        <f>90-TB2Handbook[[#This Row],[天頂距(度)]]+TB2Handbook[[#This Row],[天頂距(分)]]/60+TB2Handbook[[#This Row],[天頂距(秒)]]/3600</f>
        <v>90</v>
      </c>
      <c r="H29" s="34" t="e">
        <f t="shared" si="3"/>
        <v>#N/A</v>
      </c>
    </row>
    <row r="30" spans="1:8" x14ac:dyDescent="0.3">
      <c r="A30" s="19">
        <f>'手簿 (Handbook)'!D30+'手簿 (Handbook)'!E30/60+'手簿 (Handbook)'!F30/3600</f>
        <v>0</v>
      </c>
      <c r="B30" s="19" t="e">
        <f t="shared" si="0"/>
        <v>#N/A</v>
      </c>
      <c r="C30" s="19" t="e">
        <f>_xlfn.XLOOKUP('手簿 (Handbook)'!B30,TB1Control[點號],TB1Control[E座標])-_xlfn.XLOOKUP('手簿 (Handbook)'!A30,TB1Control[點號],TB1Control[E座標])</f>
        <v>#N/A</v>
      </c>
      <c r="D30" s="19" t="e">
        <f>_xlfn.XLOOKUP('手簿 (Handbook)'!B30,TB1Control[點號],TB1Control[N座標])-_xlfn.XLOOKUP('手簿 (Handbook)'!A30,TB1Control[點號],TB1Control[N座標])</f>
        <v>#N/A</v>
      </c>
      <c r="E30" s="19" t="e">
        <f t="shared" si="1"/>
        <v>#N/A</v>
      </c>
      <c r="F30" s="19" t="e">
        <f t="shared" si="2"/>
        <v>#N/A</v>
      </c>
      <c r="G30" s="19">
        <f>90-TB2Handbook[[#This Row],[天頂距(度)]]+TB2Handbook[[#This Row],[天頂距(分)]]/60+TB2Handbook[[#This Row],[天頂距(秒)]]/3600</f>
        <v>90</v>
      </c>
      <c r="H30" s="34" t="e">
        <f t="shared" si="3"/>
        <v>#N/A</v>
      </c>
    </row>
    <row r="31" spans="1:8" x14ac:dyDescent="0.3">
      <c r="A31" s="19">
        <f>'手簿 (Handbook)'!D31+'手簿 (Handbook)'!E31/60+'手簿 (Handbook)'!F31/3600</f>
        <v>0</v>
      </c>
      <c r="B31" s="19" t="e">
        <f t="shared" si="0"/>
        <v>#N/A</v>
      </c>
      <c r="C31" s="19" t="e">
        <f>_xlfn.XLOOKUP('手簿 (Handbook)'!B31,TB1Control[點號],TB1Control[E座標])-_xlfn.XLOOKUP('手簿 (Handbook)'!A31,TB1Control[點號],TB1Control[E座標])</f>
        <v>#N/A</v>
      </c>
      <c r="D31" s="19" t="e">
        <f>_xlfn.XLOOKUP('手簿 (Handbook)'!B31,TB1Control[點號],TB1Control[N座標])-_xlfn.XLOOKUP('手簿 (Handbook)'!A31,TB1Control[點號],TB1Control[N座標])</f>
        <v>#N/A</v>
      </c>
      <c r="E31" s="19" t="e">
        <f t="shared" si="1"/>
        <v>#N/A</v>
      </c>
      <c r="F31" s="19" t="e">
        <f t="shared" si="2"/>
        <v>#N/A</v>
      </c>
      <c r="G31" s="19">
        <f>90-TB2Handbook[[#This Row],[天頂距(度)]]+TB2Handbook[[#This Row],[天頂距(分)]]/60+TB2Handbook[[#This Row],[天頂距(秒)]]/3600</f>
        <v>90</v>
      </c>
      <c r="H31" s="34" t="e">
        <f t="shared" si="3"/>
        <v>#N/A</v>
      </c>
    </row>
    <row r="32" spans="1:8" x14ac:dyDescent="0.3">
      <c r="A32" s="19">
        <f>'手簿 (Handbook)'!D32+'手簿 (Handbook)'!E32/60+'手簿 (Handbook)'!F32/3600</f>
        <v>0</v>
      </c>
      <c r="B32" s="19" t="e">
        <f t="shared" si="0"/>
        <v>#N/A</v>
      </c>
      <c r="C32" s="19" t="e">
        <f>_xlfn.XLOOKUP('手簿 (Handbook)'!B32,TB1Control[點號],TB1Control[E座標])-_xlfn.XLOOKUP('手簿 (Handbook)'!A32,TB1Control[點號],TB1Control[E座標])</f>
        <v>#N/A</v>
      </c>
      <c r="D32" s="19" t="e">
        <f>_xlfn.XLOOKUP('手簿 (Handbook)'!B32,TB1Control[點號],TB1Control[N座標])-_xlfn.XLOOKUP('手簿 (Handbook)'!A32,TB1Control[點號],TB1Control[N座標])</f>
        <v>#N/A</v>
      </c>
      <c r="E32" s="19" t="e">
        <f t="shared" si="1"/>
        <v>#N/A</v>
      </c>
      <c r="F32" s="19" t="e">
        <f t="shared" si="2"/>
        <v>#N/A</v>
      </c>
      <c r="G32" s="19">
        <f>90-TB2Handbook[[#This Row],[天頂距(度)]]+TB2Handbook[[#This Row],[天頂距(分)]]/60+TB2Handbook[[#This Row],[天頂距(秒)]]/3600</f>
        <v>90</v>
      </c>
      <c r="H32" s="34" t="e">
        <f t="shared" si="3"/>
        <v>#N/A</v>
      </c>
    </row>
    <row r="33" spans="1:8" x14ac:dyDescent="0.3">
      <c r="A33" s="19">
        <f>'手簿 (Handbook)'!D33+'手簿 (Handbook)'!E33/60+'手簿 (Handbook)'!F33/3600</f>
        <v>0</v>
      </c>
      <c r="B33" s="19" t="e">
        <f t="shared" si="0"/>
        <v>#N/A</v>
      </c>
      <c r="C33" s="19" t="e">
        <f>_xlfn.XLOOKUP('手簿 (Handbook)'!B33,TB1Control[點號],TB1Control[E座標])-_xlfn.XLOOKUP('手簿 (Handbook)'!A33,TB1Control[點號],TB1Control[E座標])</f>
        <v>#N/A</v>
      </c>
      <c r="D33" s="19" t="e">
        <f>_xlfn.XLOOKUP('手簿 (Handbook)'!B33,TB1Control[點號],TB1Control[N座標])-_xlfn.XLOOKUP('手簿 (Handbook)'!A33,TB1Control[點號],TB1Control[N座標])</f>
        <v>#N/A</v>
      </c>
      <c r="E33" s="19" t="e">
        <f t="shared" si="1"/>
        <v>#N/A</v>
      </c>
      <c r="F33" s="19" t="e">
        <f t="shared" si="2"/>
        <v>#N/A</v>
      </c>
      <c r="G33" s="19">
        <f>90-TB2Handbook[[#This Row],[天頂距(度)]]+TB2Handbook[[#This Row],[天頂距(分)]]/60+TB2Handbook[[#This Row],[天頂距(秒)]]/3600</f>
        <v>90</v>
      </c>
      <c r="H33" s="34" t="e">
        <f t="shared" si="3"/>
        <v>#N/A</v>
      </c>
    </row>
    <row r="34" spans="1:8" x14ac:dyDescent="0.3">
      <c r="A34" s="19">
        <f>'手簿 (Handbook)'!D34+'手簿 (Handbook)'!E34/60+'手簿 (Handbook)'!F34/3600</f>
        <v>0</v>
      </c>
      <c r="B34" s="19" t="e">
        <f t="shared" si="0"/>
        <v>#N/A</v>
      </c>
      <c r="C34" s="19" t="e">
        <f>_xlfn.XLOOKUP('手簿 (Handbook)'!B34,TB1Control[點號],TB1Control[E座標])-_xlfn.XLOOKUP('手簿 (Handbook)'!A34,TB1Control[點號],TB1Control[E座標])</f>
        <v>#N/A</v>
      </c>
      <c r="D34" s="19" t="e">
        <f>_xlfn.XLOOKUP('手簿 (Handbook)'!B34,TB1Control[點號],TB1Control[N座標])-_xlfn.XLOOKUP('手簿 (Handbook)'!A34,TB1Control[點號],TB1Control[N座標])</f>
        <v>#N/A</v>
      </c>
      <c r="E34" s="19" t="e">
        <f t="shared" si="1"/>
        <v>#N/A</v>
      </c>
      <c r="F34" s="19" t="e">
        <f t="shared" si="2"/>
        <v>#N/A</v>
      </c>
      <c r="G34" s="19">
        <f>90-TB2Handbook[[#This Row],[天頂距(度)]]+TB2Handbook[[#This Row],[天頂距(分)]]/60+TB2Handbook[[#This Row],[天頂距(秒)]]/3600</f>
        <v>90</v>
      </c>
      <c r="H34" s="34" t="e">
        <f t="shared" si="3"/>
        <v>#N/A</v>
      </c>
    </row>
    <row r="35" spans="1:8" x14ac:dyDescent="0.3">
      <c r="A35" s="19">
        <f>'手簿 (Handbook)'!D35+'手簿 (Handbook)'!E35/60+'手簿 (Handbook)'!F35/3600</f>
        <v>0</v>
      </c>
      <c r="B35" s="19" t="e">
        <f t="shared" si="0"/>
        <v>#N/A</v>
      </c>
      <c r="C35" s="19" t="e">
        <f>_xlfn.XLOOKUP('手簿 (Handbook)'!B35,TB1Control[點號],TB1Control[E座標])-_xlfn.XLOOKUP('手簿 (Handbook)'!A35,TB1Control[點號],TB1Control[E座標])</f>
        <v>#N/A</v>
      </c>
      <c r="D35" s="19" t="e">
        <f>_xlfn.XLOOKUP('手簿 (Handbook)'!B35,TB1Control[點號],TB1Control[N座標])-_xlfn.XLOOKUP('手簿 (Handbook)'!A35,TB1Control[點號],TB1Control[N座標])</f>
        <v>#N/A</v>
      </c>
      <c r="E35" s="19" t="e">
        <f t="shared" si="1"/>
        <v>#N/A</v>
      </c>
      <c r="F35" s="19" t="e">
        <f t="shared" si="2"/>
        <v>#N/A</v>
      </c>
      <c r="G35" s="19">
        <f>90-TB2Handbook[[#This Row],[天頂距(度)]]+TB2Handbook[[#This Row],[天頂距(分)]]/60+TB2Handbook[[#This Row],[天頂距(秒)]]/3600</f>
        <v>90</v>
      </c>
      <c r="H35" s="34" t="e">
        <f t="shared" si="3"/>
        <v>#N/A</v>
      </c>
    </row>
    <row r="36" spans="1:8" x14ac:dyDescent="0.3">
      <c r="A36" s="19">
        <f>'手簿 (Handbook)'!D36+'手簿 (Handbook)'!E36/60+'手簿 (Handbook)'!F36/3600</f>
        <v>0</v>
      </c>
      <c r="B36" s="19" t="e">
        <f t="shared" si="0"/>
        <v>#N/A</v>
      </c>
      <c r="C36" s="19" t="e">
        <f>_xlfn.XLOOKUP('手簿 (Handbook)'!B36,TB1Control[點號],TB1Control[E座標])-_xlfn.XLOOKUP('手簿 (Handbook)'!A36,TB1Control[點號],TB1Control[E座標])</f>
        <v>#N/A</v>
      </c>
      <c r="D36" s="19" t="e">
        <f>_xlfn.XLOOKUP('手簿 (Handbook)'!B36,TB1Control[點號],TB1Control[N座標])-_xlfn.XLOOKUP('手簿 (Handbook)'!A36,TB1Control[點號],TB1Control[N座標])</f>
        <v>#N/A</v>
      </c>
      <c r="E36" s="19" t="e">
        <f t="shared" si="1"/>
        <v>#N/A</v>
      </c>
      <c r="F36" s="19" t="e">
        <f t="shared" si="2"/>
        <v>#N/A</v>
      </c>
      <c r="G36" s="19">
        <f>90-TB2Handbook[[#This Row],[天頂距(度)]]+TB2Handbook[[#This Row],[天頂距(分)]]/60+TB2Handbook[[#This Row],[天頂距(秒)]]/3600</f>
        <v>90</v>
      </c>
      <c r="H36" s="34" t="e">
        <f t="shared" si="3"/>
        <v>#N/A</v>
      </c>
    </row>
    <row r="37" spans="1:8" x14ac:dyDescent="0.3">
      <c r="A37" s="19">
        <f>'手簿 (Handbook)'!D37+'手簿 (Handbook)'!E37/60+'手簿 (Handbook)'!F37/3600</f>
        <v>0</v>
      </c>
      <c r="B37" s="19" t="e">
        <f t="shared" si="0"/>
        <v>#N/A</v>
      </c>
      <c r="C37" s="19" t="e">
        <f>_xlfn.XLOOKUP('手簿 (Handbook)'!B37,TB1Control[點號],TB1Control[E座標])-_xlfn.XLOOKUP('手簿 (Handbook)'!A37,TB1Control[點號],TB1Control[E座標])</f>
        <v>#N/A</v>
      </c>
      <c r="D37" s="19" t="e">
        <f>_xlfn.XLOOKUP('手簿 (Handbook)'!B37,TB1Control[點號],TB1Control[N座標])-_xlfn.XLOOKUP('手簿 (Handbook)'!A37,TB1Control[點號],TB1Control[N座標])</f>
        <v>#N/A</v>
      </c>
      <c r="E37" s="19" t="e">
        <f t="shared" si="1"/>
        <v>#N/A</v>
      </c>
      <c r="F37" s="19" t="e">
        <f t="shared" si="2"/>
        <v>#N/A</v>
      </c>
      <c r="G37" s="19">
        <f>90-TB2Handbook[[#This Row],[天頂距(度)]]+TB2Handbook[[#This Row],[天頂距(分)]]/60+TB2Handbook[[#This Row],[天頂距(秒)]]/3600</f>
        <v>90</v>
      </c>
      <c r="H37" s="34" t="e">
        <f t="shared" si="3"/>
        <v>#N/A</v>
      </c>
    </row>
    <row r="38" spans="1:8" x14ac:dyDescent="0.3">
      <c r="A38" s="19">
        <f>'手簿 (Handbook)'!D38+'手簿 (Handbook)'!E38/60+'手簿 (Handbook)'!F38/3600</f>
        <v>0</v>
      </c>
      <c r="B38" s="19" t="e">
        <f t="shared" si="0"/>
        <v>#N/A</v>
      </c>
      <c r="C38" s="19" t="e">
        <f>_xlfn.XLOOKUP('手簿 (Handbook)'!B38,TB1Control[點號],TB1Control[E座標])-_xlfn.XLOOKUP('手簿 (Handbook)'!A38,TB1Control[點號],TB1Control[E座標])</f>
        <v>#N/A</v>
      </c>
      <c r="D38" s="19" t="e">
        <f>_xlfn.XLOOKUP('手簿 (Handbook)'!B38,TB1Control[點號],TB1Control[N座標])-_xlfn.XLOOKUP('手簿 (Handbook)'!A38,TB1Control[點號],TB1Control[N座標])</f>
        <v>#N/A</v>
      </c>
      <c r="E38" s="19" t="e">
        <f t="shared" si="1"/>
        <v>#N/A</v>
      </c>
      <c r="F38" s="19" t="e">
        <f t="shared" si="2"/>
        <v>#N/A</v>
      </c>
      <c r="G38" s="19">
        <f>90-TB2Handbook[[#This Row],[天頂距(度)]]+TB2Handbook[[#This Row],[天頂距(分)]]/60+TB2Handbook[[#This Row],[天頂距(秒)]]/3600</f>
        <v>90</v>
      </c>
      <c r="H38" s="34" t="e">
        <f t="shared" si="3"/>
        <v>#N/A</v>
      </c>
    </row>
    <row r="39" spans="1:8" x14ac:dyDescent="0.3">
      <c r="A39" s="19">
        <f>'手簿 (Handbook)'!D39+'手簿 (Handbook)'!E39/60+'手簿 (Handbook)'!F39/3600</f>
        <v>0</v>
      </c>
      <c r="B39" s="19" t="e">
        <f t="shared" si="0"/>
        <v>#N/A</v>
      </c>
      <c r="C39" s="19" t="e">
        <f>_xlfn.XLOOKUP('手簿 (Handbook)'!B39,TB1Control[點號],TB1Control[E座標])-_xlfn.XLOOKUP('手簿 (Handbook)'!A39,TB1Control[點號],TB1Control[E座標])</f>
        <v>#N/A</v>
      </c>
      <c r="D39" s="19" t="e">
        <f>_xlfn.XLOOKUP('手簿 (Handbook)'!B39,TB1Control[點號],TB1Control[N座標])-_xlfn.XLOOKUP('手簿 (Handbook)'!A39,TB1Control[點號],TB1Control[N座標])</f>
        <v>#N/A</v>
      </c>
      <c r="E39" s="19" t="e">
        <f t="shared" si="1"/>
        <v>#N/A</v>
      </c>
      <c r="F39" s="19" t="e">
        <f t="shared" si="2"/>
        <v>#N/A</v>
      </c>
      <c r="G39" s="19">
        <f>90-TB2Handbook[[#This Row],[天頂距(度)]]+TB2Handbook[[#This Row],[天頂距(分)]]/60+TB2Handbook[[#This Row],[天頂距(秒)]]/3600</f>
        <v>90</v>
      </c>
      <c r="H39" s="34" t="e">
        <f t="shared" si="3"/>
        <v>#N/A</v>
      </c>
    </row>
    <row r="40" spans="1:8" x14ac:dyDescent="0.3">
      <c r="A40" s="19">
        <f>'手簿 (Handbook)'!D40+'手簿 (Handbook)'!E40/60+'手簿 (Handbook)'!F40/3600</f>
        <v>0</v>
      </c>
      <c r="B40" s="19" t="e">
        <f t="shared" si="0"/>
        <v>#N/A</v>
      </c>
      <c r="C40" s="19" t="e">
        <f>_xlfn.XLOOKUP('手簿 (Handbook)'!B40,TB1Control[點號],TB1Control[E座標])-_xlfn.XLOOKUP('手簿 (Handbook)'!A40,TB1Control[點號],TB1Control[E座標])</f>
        <v>#N/A</v>
      </c>
      <c r="D40" s="19" t="e">
        <f>_xlfn.XLOOKUP('手簿 (Handbook)'!B40,TB1Control[點號],TB1Control[N座標])-_xlfn.XLOOKUP('手簿 (Handbook)'!A40,TB1Control[點號],TB1Control[N座標])</f>
        <v>#N/A</v>
      </c>
      <c r="E40" s="19" t="e">
        <f t="shared" si="1"/>
        <v>#N/A</v>
      </c>
      <c r="F40" s="19" t="e">
        <f t="shared" si="2"/>
        <v>#N/A</v>
      </c>
      <c r="G40" s="19">
        <f>90-TB2Handbook[[#This Row],[天頂距(度)]]+TB2Handbook[[#This Row],[天頂距(分)]]/60+TB2Handbook[[#This Row],[天頂距(秒)]]/3600</f>
        <v>90</v>
      </c>
      <c r="H40" s="34" t="e">
        <f t="shared" si="3"/>
        <v>#N/A</v>
      </c>
    </row>
    <row r="41" spans="1:8" x14ac:dyDescent="0.3">
      <c r="A41" s="19">
        <f>'手簿 (Handbook)'!D41+'手簿 (Handbook)'!E41/60+'手簿 (Handbook)'!F41/3600</f>
        <v>0</v>
      </c>
      <c r="B41" s="19" t="e">
        <f t="shared" si="0"/>
        <v>#N/A</v>
      </c>
      <c r="C41" s="19" t="e">
        <f>_xlfn.XLOOKUP('手簿 (Handbook)'!B41,TB1Control[點號],TB1Control[E座標])-_xlfn.XLOOKUP('手簿 (Handbook)'!A41,TB1Control[點號],TB1Control[E座標])</f>
        <v>#N/A</v>
      </c>
      <c r="D41" s="19" t="e">
        <f>_xlfn.XLOOKUP('手簿 (Handbook)'!B41,TB1Control[點號],TB1Control[N座標])-_xlfn.XLOOKUP('手簿 (Handbook)'!A41,TB1Control[點號],TB1Control[N座標])</f>
        <v>#N/A</v>
      </c>
      <c r="E41" s="19" t="e">
        <f t="shared" si="1"/>
        <v>#N/A</v>
      </c>
      <c r="F41" s="19" t="e">
        <f t="shared" si="2"/>
        <v>#N/A</v>
      </c>
      <c r="G41" s="19">
        <f>90-TB2Handbook[[#This Row],[天頂距(度)]]+TB2Handbook[[#This Row],[天頂距(分)]]/60+TB2Handbook[[#This Row],[天頂距(秒)]]/3600</f>
        <v>90</v>
      </c>
      <c r="H41" s="34" t="e">
        <f t="shared" si="3"/>
        <v>#N/A</v>
      </c>
    </row>
    <row r="42" spans="1:8" x14ac:dyDescent="0.3">
      <c r="A42" s="19">
        <f>'手簿 (Handbook)'!D42+'手簿 (Handbook)'!E42/60+'手簿 (Handbook)'!F42/3600</f>
        <v>0</v>
      </c>
      <c r="B42" s="19" t="e">
        <f t="shared" si="0"/>
        <v>#N/A</v>
      </c>
      <c r="C42" s="19" t="e">
        <f>_xlfn.XLOOKUP('手簿 (Handbook)'!B42,TB1Control[點號],TB1Control[E座標])-_xlfn.XLOOKUP('手簿 (Handbook)'!A42,TB1Control[點號],TB1Control[E座標])</f>
        <v>#N/A</v>
      </c>
      <c r="D42" s="19" t="e">
        <f>_xlfn.XLOOKUP('手簿 (Handbook)'!B42,TB1Control[點號],TB1Control[N座標])-_xlfn.XLOOKUP('手簿 (Handbook)'!A42,TB1Control[點號],TB1Control[N座標])</f>
        <v>#N/A</v>
      </c>
      <c r="E42" s="19" t="e">
        <f t="shared" si="1"/>
        <v>#N/A</v>
      </c>
      <c r="F42" s="19" t="e">
        <f t="shared" si="2"/>
        <v>#N/A</v>
      </c>
      <c r="G42" s="19">
        <f>90-TB2Handbook[[#This Row],[天頂距(度)]]+TB2Handbook[[#This Row],[天頂距(分)]]/60+TB2Handbook[[#This Row],[天頂距(秒)]]/3600</f>
        <v>90</v>
      </c>
      <c r="H42" s="34" t="e">
        <f t="shared" si="3"/>
        <v>#N/A</v>
      </c>
    </row>
    <row r="43" spans="1:8" x14ac:dyDescent="0.3">
      <c r="A43" s="19">
        <f>'手簿 (Handbook)'!D43+'手簿 (Handbook)'!E43/60+'手簿 (Handbook)'!F43/3600</f>
        <v>0</v>
      </c>
      <c r="B43" s="19" t="e">
        <f t="shared" si="0"/>
        <v>#N/A</v>
      </c>
      <c r="C43" s="19" t="e">
        <f>_xlfn.XLOOKUP('手簿 (Handbook)'!B43,TB1Control[點號],TB1Control[E座標])-_xlfn.XLOOKUP('手簿 (Handbook)'!A43,TB1Control[點號],TB1Control[E座標])</f>
        <v>#N/A</v>
      </c>
      <c r="D43" s="19" t="e">
        <f>_xlfn.XLOOKUP('手簿 (Handbook)'!B43,TB1Control[點號],TB1Control[N座標])-_xlfn.XLOOKUP('手簿 (Handbook)'!A43,TB1Control[點號],TB1Control[N座標])</f>
        <v>#N/A</v>
      </c>
      <c r="E43" s="19" t="e">
        <f t="shared" si="1"/>
        <v>#N/A</v>
      </c>
      <c r="F43" s="19" t="e">
        <f t="shared" si="2"/>
        <v>#N/A</v>
      </c>
      <c r="G43" s="19">
        <f>90-TB2Handbook[[#This Row],[天頂距(度)]]+TB2Handbook[[#This Row],[天頂距(分)]]/60+TB2Handbook[[#This Row],[天頂距(秒)]]/3600</f>
        <v>90</v>
      </c>
      <c r="H43" s="34" t="e">
        <f t="shared" si="3"/>
        <v>#N/A</v>
      </c>
    </row>
    <row r="44" spans="1:8" x14ac:dyDescent="0.3">
      <c r="A44" s="19">
        <f>'手簿 (Handbook)'!D44+'手簿 (Handbook)'!E44/60+'手簿 (Handbook)'!F44/3600</f>
        <v>0</v>
      </c>
      <c r="B44" s="19" t="e">
        <f t="shared" si="0"/>
        <v>#N/A</v>
      </c>
      <c r="C44" s="19" t="e">
        <f>_xlfn.XLOOKUP('手簿 (Handbook)'!B44,TB1Control[點號],TB1Control[E座標])-_xlfn.XLOOKUP('手簿 (Handbook)'!A44,TB1Control[點號],TB1Control[E座標])</f>
        <v>#N/A</v>
      </c>
      <c r="D44" s="19" t="e">
        <f>_xlfn.XLOOKUP('手簿 (Handbook)'!B44,TB1Control[點號],TB1Control[N座標])-_xlfn.XLOOKUP('手簿 (Handbook)'!A44,TB1Control[點號],TB1Control[N座標])</f>
        <v>#N/A</v>
      </c>
      <c r="E44" s="19" t="e">
        <f t="shared" si="1"/>
        <v>#N/A</v>
      </c>
      <c r="F44" s="19" t="e">
        <f t="shared" si="2"/>
        <v>#N/A</v>
      </c>
      <c r="G44" s="19">
        <f>90-TB2Handbook[[#This Row],[天頂距(度)]]+TB2Handbook[[#This Row],[天頂距(分)]]/60+TB2Handbook[[#This Row],[天頂距(秒)]]/3600</f>
        <v>90</v>
      </c>
      <c r="H44" s="34" t="e">
        <f t="shared" si="3"/>
        <v>#N/A</v>
      </c>
    </row>
    <row r="45" spans="1:8" x14ac:dyDescent="0.3">
      <c r="A45" s="19">
        <f>'手簿 (Handbook)'!D45+'手簿 (Handbook)'!E45/60+'手簿 (Handbook)'!F45/3600</f>
        <v>0</v>
      </c>
      <c r="B45" s="19" t="e">
        <f t="shared" si="0"/>
        <v>#N/A</v>
      </c>
      <c r="C45" s="19" t="e">
        <f>_xlfn.XLOOKUP('手簿 (Handbook)'!B45,TB1Control[點號],TB1Control[E座標])-_xlfn.XLOOKUP('手簿 (Handbook)'!A45,TB1Control[點號],TB1Control[E座標])</f>
        <v>#N/A</v>
      </c>
      <c r="D45" s="19" t="e">
        <f>_xlfn.XLOOKUP('手簿 (Handbook)'!B45,TB1Control[點號],TB1Control[N座標])-_xlfn.XLOOKUP('手簿 (Handbook)'!A45,TB1Control[點號],TB1Control[N座標])</f>
        <v>#N/A</v>
      </c>
      <c r="E45" s="19" t="e">
        <f t="shared" si="1"/>
        <v>#N/A</v>
      </c>
      <c r="F45" s="19" t="e">
        <f t="shared" si="2"/>
        <v>#N/A</v>
      </c>
      <c r="G45" s="19">
        <f>90-TB2Handbook[[#This Row],[天頂距(度)]]+TB2Handbook[[#This Row],[天頂距(分)]]/60+TB2Handbook[[#This Row],[天頂距(秒)]]/3600</f>
        <v>90</v>
      </c>
      <c r="H45" s="34" t="e">
        <f t="shared" si="3"/>
        <v>#N/A</v>
      </c>
    </row>
    <row r="46" spans="1:8" x14ac:dyDescent="0.3">
      <c r="A46" s="19">
        <f>'手簿 (Handbook)'!D46+'手簿 (Handbook)'!E46/60+'手簿 (Handbook)'!F46/3600</f>
        <v>0</v>
      </c>
      <c r="B46" s="19" t="e">
        <f t="shared" si="0"/>
        <v>#N/A</v>
      </c>
      <c r="C46" s="19" t="e">
        <f>_xlfn.XLOOKUP('手簿 (Handbook)'!B46,TB1Control[點號],TB1Control[E座標])-_xlfn.XLOOKUP('手簿 (Handbook)'!A46,TB1Control[點號],TB1Control[E座標])</f>
        <v>#N/A</v>
      </c>
      <c r="D46" s="19" t="e">
        <f>_xlfn.XLOOKUP('手簿 (Handbook)'!B46,TB1Control[點號],TB1Control[N座標])-_xlfn.XLOOKUP('手簿 (Handbook)'!A46,TB1Control[點號],TB1Control[N座標])</f>
        <v>#N/A</v>
      </c>
      <c r="E46" s="19" t="e">
        <f t="shared" si="1"/>
        <v>#N/A</v>
      </c>
      <c r="F46" s="19" t="e">
        <f t="shared" si="2"/>
        <v>#N/A</v>
      </c>
      <c r="G46" s="19">
        <f>90-TB2Handbook[[#This Row],[天頂距(度)]]+TB2Handbook[[#This Row],[天頂距(分)]]/60+TB2Handbook[[#This Row],[天頂距(秒)]]/3600</f>
        <v>90</v>
      </c>
      <c r="H46" s="34" t="e">
        <f t="shared" si="3"/>
        <v>#N/A</v>
      </c>
    </row>
    <row r="47" spans="1:8" x14ac:dyDescent="0.3">
      <c r="A47" s="19">
        <f>'手簿 (Handbook)'!D47+'手簿 (Handbook)'!E47/60+'手簿 (Handbook)'!F47/3600</f>
        <v>0</v>
      </c>
      <c r="B47" s="19" t="e">
        <f t="shared" si="0"/>
        <v>#N/A</v>
      </c>
      <c r="C47" s="19" t="e">
        <f>_xlfn.XLOOKUP('手簿 (Handbook)'!B47,TB1Control[點號],TB1Control[E座標])-_xlfn.XLOOKUP('手簿 (Handbook)'!A47,TB1Control[點號],TB1Control[E座標])</f>
        <v>#N/A</v>
      </c>
      <c r="D47" s="19" t="e">
        <f>_xlfn.XLOOKUP('手簿 (Handbook)'!B47,TB1Control[點號],TB1Control[N座標])-_xlfn.XLOOKUP('手簿 (Handbook)'!A47,TB1Control[點號],TB1Control[N座標])</f>
        <v>#N/A</v>
      </c>
      <c r="E47" s="19" t="e">
        <f t="shared" si="1"/>
        <v>#N/A</v>
      </c>
      <c r="F47" s="19" t="e">
        <f t="shared" si="2"/>
        <v>#N/A</v>
      </c>
      <c r="G47" s="19">
        <f>90-TB2Handbook[[#This Row],[天頂距(度)]]+TB2Handbook[[#This Row],[天頂距(分)]]/60+TB2Handbook[[#This Row],[天頂距(秒)]]/3600</f>
        <v>90</v>
      </c>
      <c r="H47" s="34" t="e">
        <f t="shared" si="3"/>
        <v>#N/A</v>
      </c>
    </row>
    <row r="48" spans="1:8" x14ac:dyDescent="0.3">
      <c r="A48" s="19">
        <f>'手簿 (Handbook)'!D48+'手簿 (Handbook)'!E48/60+'手簿 (Handbook)'!F48/3600</f>
        <v>0</v>
      </c>
      <c r="B48" s="19" t="e">
        <f t="shared" si="0"/>
        <v>#N/A</v>
      </c>
      <c r="C48" s="19" t="e">
        <f>_xlfn.XLOOKUP('手簿 (Handbook)'!B48,TB1Control[點號],TB1Control[E座標])-_xlfn.XLOOKUP('手簿 (Handbook)'!A48,TB1Control[點號],TB1Control[E座標])</f>
        <v>#N/A</v>
      </c>
      <c r="D48" s="19" t="e">
        <f>_xlfn.XLOOKUP('手簿 (Handbook)'!B48,TB1Control[點號],TB1Control[N座標])-_xlfn.XLOOKUP('手簿 (Handbook)'!A48,TB1Control[點號],TB1Control[N座標])</f>
        <v>#N/A</v>
      </c>
      <c r="E48" s="19" t="e">
        <f t="shared" si="1"/>
        <v>#N/A</v>
      </c>
      <c r="F48" s="19" t="e">
        <f t="shared" si="2"/>
        <v>#N/A</v>
      </c>
      <c r="G48" s="19">
        <f>90-TB2Handbook[[#This Row],[天頂距(度)]]+TB2Handbook[[#This Row],[天頂距(分)]]/60+TB2Handbook[[#This Row],[天頂距(秒)]]/3600</f>
        <v>90</v>
      </c>
      <c r="H48" s="34" t="e">
        <f t="shared" si="3"/>
        <v>#N/A</v>
      </c>
    </row>
    <row r="49" spans="1:8" x14ac:dyDescent="0.3">
      <c r="A49" s="19">
        <f>'手簿 (Handbook)'!D49+'手簿 (Handbook)'!E49/60+'手簿 (Handbook)'!F49/3600</f>
        <v>0</v>
      </c>
      <c r="B49" s="19" t="e">
        <f t="shared" si="0"/>
        <v>#N/A</v>
      </c>
      <c r="C49" s="19" t="e">
        <f>_xlfn.XLOOKUP('手簿 (Handbook)'!B49,TB1Control[點號],TB1Control[E座標])-_xlfn.XLOOKUP('手簿 (Handbook)'!A49,TB1Control[點號],TB1Control[E座標])</f>
        <v>#N/A</v>
      </c>
      <c r="D49" s="19" t="e">
        <f>_xlfn.XLOOKUP('手簿 (Handbook)'!B49,TB1Control[點號],TB1Control[N座標])-_xlfn.XLOOKUP('手簿 (Handbook)'!A49,TB1Control[點號],TB1Control[N座標])</f>
        <v>#N/A</v>
      </c>
      <c r="E49" s="19" t="e">
        <f t="shared" si="1"/>
        <v>#N/A</v>
      </c>
      <c r="F49" s="19" t="e">
        <f t="shared" si="2"/>
        <v>#N/A</v>
      </c>
      <c r="G49" s="19">
        <f>90-TB2Handbook[[#This Row],[天頂距(度)]]+TB2Handbook[[#This Row],[天頂距(分)]]/60+TB2Handbook[[#This Row],[天頂距(秒)]]/3600</f>
        <v>90</v>
      </c>
      <c r="H49" s="34" t="e">
        <f t="shared" si="3"/>
        <v>#N/A</v>
      </c>
    </row>
    <row r="50" spans="1:8" x14ac:dyDescent="0.3">
      <c r="A50" s="19">
        <f>'手簿 (Handbook)'!D50+'手簿 (Handbook)'!E50/60+'手簿 (Handbook)'!F50/3600</f>
        <v>0</v>
      </c>
      <c r="B50" s="19" t="e">
        <f t="shared" si="0"/>
        <v>#N/A</v>
      </c>
      <c r="C50" s="19" t="e">
        <f>_xlfn.XLOOKUP('手簿 (Handbook)'!B50,TB1Control[點號],TB1Control[E座標])-_xlfn.XLOOKUP('手簿 (Handbook)'!A50,TB1Control[點號],TB1Control[E座標])</f>
        <v>#N/A</v>
      </c>
      <c r="D50" s="19" t="e">
        <f>_xlfn.XLOOKUP('手簿 (Handbook)'!B50,TB1Control[點號],TB1Control[N座標])-_xlfn.XLOOKUP('手簿 (Handbook)'!A50,TB1Control[點號],TB1Control[N座標])</f>
        <v>#N/A</v>
      </c>
      <c r="E50" s="19" t="e">
        <f t="shared" si="1"/>
        <v>#N/A</v>
      </c>
      <c r="F50" s="19" t="e">
        <f t="shared" si="2"/>
        <v>#N/A</v>
      </c>
      <c r="G50" s="19">
        <f>90-TB2Handbook[[#This Row],[天頂距(度)]]+TB2Handbook[[#This Row],[天頂距(分)]]/60+TB2Handbook[[#This Row],[天頂距(秒)]]/3600</f>
        <v>90</v>
      </c>
      <c r="H50" s="34" t="e">
        <f t="shared" si="3"/>
        <v>#N/A</v>
      </c>
    </row>
    <row r="51" spans="1:8" x14ac:dyDescent="0.3">
      <c r="A51" s="19">
        <f>'手簿 (Handbook)'!D51+'手簿 (Handbook)'!E51/60+'手簿 (Handbook)'!F51/3600</f>
        <v>0</v>
      </c>
      <c r="B51" s="19" t="e">
        <f t="shared" si="0"/>
        <v>#N/A</v>
      </c>
      <c r="C51" s="19" t="e">
        <f>_xlfn.XLOOKUP('手簿 (Handbook)'!B51,TB1Control[點號],TB1Control[E座標])-_xlfn.XLOOKUP('手簿 (Handbook)'!A51,TB1Control[點號],TB1Control[E座標])</f>
        <v>#N/A</v>
      </c>
      <c r="D51" s="19" t="e">
        <f>_xlfn.XLOOKUP('手簿 (Handbook)'!B51,TB1Control[點號],TB1Control[N座標])-_xlfn.XLOOKUP('手簿 (Handbook)'!A51,TB1Control[點號],TB1Control[N座標])</f>
        <v>#N/A</v>
      </c>
      <c r="E51" s="19" t="e">
        <f t="shared" si="1"/>
        <v>#N/A</v>
      </c>
      <c r="F51" s="19" t="e">
        <f t="shared" si="2"/>
        <v>#N/A</v>
      </c>
      <c r="G51" s="19">
        <f>90-TB2Handbook[[#This Row],[天頂距(度)]]+TB2Handbook[[#This Row],[天頂距(分)]]/60+TB2Handbook[[#This Row],[天頂距(秒)]]/3600</f>
        <v>90</v>
      </c>
      <c r="H51" s="34" t="e">
        <f t="shared" si="3"/>
        <v>#N/A</v>
      </c>
    </row>
    <row r="52" spans="1:8" x14ac:dyDescent="0.3">
      <c r="A52" s="19">
        <f>'手簿 (Handbook)'!D52+'手簿 (Handbook)'!E52/60+'手簿 (Handbook)'!F52/3600</f>
        <v>0</v>
      </c>
      <c r="B52" s="19" t="e">
        <f t="shared" si="0"/>
        <v>#N/A</v>
      </c>
      <c r="C52" s="19" t="e">
        <f>_xlfn.XLOOKUP('手簿 (Handbook)'!B52,TB1Control[點號],TB1Control[E座標])-_xlfn.XLOOKUP('手簿 (Handbook)'!A52,TB1Control[點號],TB1Control[E座標])</f>
        <v>#N/A</v>
      </c>
      <c r="D52" s="19" t="e">
        <f>_xlfn.XLOOKUP('手簿 (Handbook)'!B52,TB1Control[點號],TB1Control[N座標])-_xlfn.XLOOKUP('手簿 (Handbook)'!A52,TB1Control[點號],TB1Control[N座標])</f>
        <v>#N/A</v>
      </c>
      <c r="E52" s="19" t="e">
        <f t="shared" si="1"/>
        <v>#N/A</v>
      </c>
      <c r="F52" s="19" t="e">
        <f t="shared" si="2"/>
        <v>#N/A</v>
      </c>
      <c r="G52" s="19">
        <f>90-TB2Handbook[[#This Row],[天頂距(度)]]+TB2Handbook[[#This Row],[天頂距(分)]]/60+TB2Handbook[[#This Row],[天頂距(秒)]]/3600</f>
        <v>90</v>
      </c>
      <c r="H52" s="34" t="e">
        <f t="shared" si="3"/>
        <v>#N/A</v>
      </c>
    </row>
    <row r="53" spans="1:8" x14ac:dyDescent="0.3">
      <c r="A53" s="19">
        <f>'手簿 (Handbook)'!D53+'手簿 (Handbook)'!E53/60+'手簿 (Handbook)'!F53/3600</f>
        <v>0</v>
      </c>
      <c r="B53" s="19" t="e">
        <f t="shared" si="0"/>
        <v>#N/A</v>
      </c>
      <c r="C53" s="19" t="e">
        <f>_xlfn.XLOOKUP('手簿 (Handbook)'!B53,TB1Control[點號],TB1Control[E座標])-_xlfn.XLOOKUP('手簿 (Handbook)'!A53,TB1Control[點號],TB1Control[E座標])</f>
        <v>#N/A</v>
      </c>
      <c r="D53" s="19" t="e">
        <f>_xlfn.XLOOKUP('手簿 (Handbook)'!B53,TB1Control[點號],TB1Control[N座標])-_xlfn.XLOOKUP('手簿 (Handbook)'!A53,TB1Control[點號],TB1Control[N座標])</f>
        <v>#N/A</v>
      </c>
      <c r="E53" s="19" t="e">
        <f t="shared" si="1"/>
        <v>#N/A</v>
      </c>
      <c r="F53" s="19" t="e">
        <f t="shared" si="2"/>
        <v>#N/A</v>
      </c>
      <c r="G53" s="19">
        <f>90-TB2Handbook[[#This Row],[天頂距(度)]]+TB2Handbook[[#This Row],[天頂距(分)]]/60+TB2Handbook[[#This Row],[天頂距(秒)]]/3600</f>
        <v>90</v>
      </c>
      <c r="H53" s="34" t="e">
        <f t="shared" si="3"/>
        <v>#N/A</v>
      </c>
    </row>
    <row r="54" spans="1:8" x14ac:dyDescent="0.3">
      <c r="A54" s="19">
        <f>'手簿 (Handbook)'!D54+'手簿 (Handbook)'!E54/60+'手簿 (Handbook)'!F54/3600</f>
        <v>0</v>
      </c>
      <c r="B54" s="19" t="e">
        <f t="shared" si="0"/>
        <v>#N/A</v>
      </c>
      <c r="C54" s="19" t="e">
        <f>_xlfn.XLOOKUP('手簿 (Handbook)'!B54,TB1Control[點號],TB1Control[E座標])-_xlfn.XLOOKUP('手簿 (Handbook)'!A54,TB1Control[點號],TB1Control[E座標])</f>
        <v>#N/A</v>
      </c>
      <c r="D54" s="19" t="e">
        <f>_xlfn.XLOOKUP('手簿 (Handbook)'!B54,TB1Control[點號],TB1Control[N座標])-_xlfn.XLOOKUP('手簿 (Handbook)'!A54,TB1Control[點號],TB1Control[N座標])</f>
        <v>#N/A</v>
      </c>
      <c r="E54" s="19" t="e">
        <f t="shared" si="1"/>
        <v>#N/A</v>
      </c>
      <c r="F54" s="19" t="e">
        <f t="shared" si="2"/>
        <v>#N/A</v>
      </c>
      <c r="G54" s="19">
        <f>90-TB2Handbook[[#This Row],[天頂距(度)]]+TB2Handbook[[#This Row],[天頂距(分)]]/60+TB2Handbook[[#This Row],[天頂距(秒)]]/3600</f>
        <v>90</v>
      </c>
      <c r="H54" s="34" t="e">
        <f t="shared" si="3"/>
        <v>#N/A</v>
      </c>
    </row>
    <row r="55" spans="1:8" x14ac:dyDescent="0.3">
      <c r="A55" s="19">
        <f>'手簿 (Handbook)'!D55+'手簿 (Handbook)'!E55/60+'手簿 (Handbook)'!F55/3600</f>
        <v>0</v>
      </c>
      <c r="B55" s="19" t="e">
        <f t="shared" si="0"/>
        <v>#N/A</v>
      </c>
      <c r="C55" s="19" t="e">
        <f>_xlfn.XLOOKUP('手簿 (Handbook)'!B55,TB1Control[點號],TB1Control[E座標])-_xlfn.XLOOKUP('手簿 (Handbook)'!A55,TB1Control[點號],TB1Control[E座標])</f>
        <v>#N/A</v>
      </c>
      <c r="D55" s="19" t="e">
        <f>_xlfn.XLOOKUP('手簿 (Handbook)'!B55,TB1Control[點號],TB1Control[N座標])-_xlfn.XLOOKUP('手簿 (Handbook)'!A55,TB1Control[點號],TB1Control[N座標])</f>
        <v>#N/A</v>
      </c>
      <c r="E55" s="19" t="e">
        <f t="shared" si="1"/>
        <v>#N/A</v>
      </c>
      <c r="F55" s="19" t="e">
        <f t="shared" si="2"/>
        <v>#N/A</v>
      </c>
      <c r="G55" s="19">
        <f>90-TB2Handbook[[#This Row],[天頂距(度)]]+TB2Handbook[[#This Row],[天頂距(分)]]/60+TB2Handbook[[#This Row],[天頂距(秒)]]/3600</f>
        <v>90</v>
      </c>
      <c r="H55" s="34" t="e">
        <f t="shared" si="3"/>
        <v>#N/A</v>
      </c>
    </row>
    <row r="56" spans="1:8" x14ac:dyDescent="0.3">
      <c r="A56" s="19">
        <f>'手簿 (Handbook)'!D56+'手簿 (Handbook)'!E56/60+'手簿 (Handbook)'!F56/3600</f>
        <v>0</v>
      </c>
      <c r="B56" s="19" t="e">
        <f t="shared" si="0"/>
        <v>#N/A</v>
      </c>
      <c r="C56" s="19" t="e">
        <f>_xlfn.XLOOKUP('手簿 (Handbook)'!B56,TB1Control[點號],TB1Control[E座標])-_xlfn.XLOOKUP('手簿 (Handbook)'!A56,TB1Control[點號],TB1Control[E座標])</f>
        <v>#N/A</v>
      </c>
      <c r="D56" s="19" t="e">
        <f>_xlfn.XLOOKUP('手簿 (Handbook)'!B56,TB1Control[點號],TB1Control[N座標])-_xlfn.XLOOKUP('手簿 (Handbook)'!A56,TB1Control[點號],TB1Control[N座標])</f>
        <v>#N/A</v>
      </c>
      <c r="E56" s="19" t="e">
        <f t="shared" si="1"/>
        <v>#N/A</v>
      </c>
      <c r="F56" s="19" t="e">
        <f t="shared" si="2"/>
        <v>#N/A</v>
      </c>
      <c r="G56" s="19">
        <f>90-TB2Handbook[[#This Row],[天頂距(度)]]+TB2Handbook[[#This Row],[天頂距(分)]]/60+TB2Handbook[[#This Row],[天頂距(秒)]]/3600</f>
        <v>90</v>
      </c>
      <c r="H56" s="34" t="e">
        <f t="shared" si="3"/>
        <v>#N/A</v>
      </c>
    </row>
    <row r="57" spans="1:8" x14ac:dyDescent="0.3">
      <c r="A57" s="19">
        <f>'手簿 (Handbook)'!D57+'手簿 (Handbook)'!E57/60+'手簿 (Handbook)'!F57/3600</f>
        <v>0</v>
      </c>
      <c r="B57" s="19" t="e">
        <f t="shared" si="0"/>
        <v>#N/A</v>
      </c>
      <c r="C57" s="19" t="e">
        <f>_xlfn.XLOOKUP('手簿 (Handbook)'!B57,TB1Control[點號],TB1Control[E座標])-_xlfn.XLOOKUP('手簿 (Handbook)'!A57,TB1Control[點號],TB1Control[E座標])</f>
        <v>#N/A</v>
      </c>
      <c r="D57" s="19" t="e">
        <f>_xlfn.XLOOKUP('手簿 (Handbook)'!B57,TB1Control[點號],TB1Control[N座標])-_xlfn.XLOOKUP('手簿 (Handbook)'!A57,TB1Control[點號],TB1Control[N座標])</f>
        <v>#N/A</v>
      </c>
      <c r="E57" s="19" t="e">
        <f t="shared" si="1"/>
        <v>#N/A</v>
      </c>
      <c r="F57" s="19" t="e">
        <f t="shared" si="2"/>
        <v>#N/A</v>
      </c>
      <c r="G57" s="19">
        <f>90-TB2Handbook[[#This Row],[天頂距(度)]]+TB2Handbook[[#This Row],[天頂距(分)]]/60+TB2Handbook[[#This Row],[天頂距(秒)]]/3600</f>
        <v>90</v>
      </c>
      <c r="H57" s="34" t="e">
        <f t="shared" si="3"/>
        <v>#N/A</v>
      </c>
    </row>
    <row r="58" spans="1:8" x14ac:dyDescent="0.3">
      <c r="A58" s="19">
        <f>'手簿 (Handbook)'!D58+'手簿 (Handbook)'!E58/60+'手簿 (Handbook)'!F58/3600</f>
        <v>0</v>
      </c>
      <c r="B58" s="19" t="e">
        <f t="shared" si="0"/>
        <v>#N/A</v>
      </c>
      <c r="C58" s="19" t="e">
        <f>_xlfn.XLOOKUP('手簿 (Handbook)'!B58,TB1Control[點號],TB1Control[E座標])-_xlfn.XLOOKUP('手簿 (Handbook)'!A58,TB1Control[點號],TB1Control[E座標])</f>
        <v>#N/A</v>
      </c>
      <c r="D58" s="19" t="e">
        <f>_xlfn.XLOOKUP('手簿 (Handbook)'!B58,TB1Control[點號],TB1Control[N座標])-_xlfn.XLOOKUP('手簿 (Handbook)'!A58,TB1Control[點號],TB1Control[N座標])</f>
        <v>#N/A</v>
      </c>
      <c r="E58" s="19" t="e">
        <f t="shared" si="1"/>
        <v>#N/A</v>
      </c>
      <c r="F58" s="19" t="e">
        <f t="shared" si="2"/>
        <v>#N/A</v>
      </c>
      <c r="G58" s="19">
        <f>90-TB2Handbook[[#This Row],[天頂距(度)]]+TB2Handbook[[#This Row],[天頂距(分)]]/60+TB2Handbook[[#This Row],[天頂距(秒)]]/3600</f>
        <v>90</v>
      </c>
      <c r="H58" s="34" t="e">
        <f t="shared" si="3"/>
        <v>#N/A</v>
      </c>
    </row>
    <row r="59" spans="1:8" x14ac:dyDescent="0.3">
      <c r="A59" s="19">
        <f>'手簿 (Handbook)'!D59+'手簿 (Handbook)'!E59/60+'手簿 (Handbook)'!F59/3600</f>
        <v>0</v>
      </c>
      <c r="B59" s="19" t="e">
        <f t="shared" si="0"/>
        <v>#N/A</v>
      </c>
      <c r="C59" s="19" t="e">
        <f>_xlfn.XLOOKUP('手簿 (Handbook)'!B59,TB1Control[點號],TB1Control[E座標])-_xlfn.XLOOKUP('手簿 (Handbook)'!A59,TB1Control[點號],TB1Control[E座標])</f>
        <v>#N/A</v>
      </c>
      <c r="D59" s="19" t="e">
        <f>_xlfn.XLOOKUP('手簿 (Handbook)'!B59,TB1Control[點號],TB1Control[N座標])-_xlfn.XLOOKUP('手簿 (Handbook)'!A59,TB1Control[點號],TB1Control[N座標])</f>
        <v>#N/A</v>
      </c>
      <c r="E59" s="19" t="e">
        <f t="shared" si="1"/>
        <v>#N/A</v>
      </c>
      <c r="F59" s="19" t="e">
        <f t="shared" si="2"/>
        <v>#N/A</v>
      </c>
      <c r="G59" s="19">
        <f>90-TB2Handbook[[#This Row],[天頂距(度)]]+TB2Handbook[[#This Row],[天頂距(分)]]/60+TB2Handbook[[#This Row],[天頂距(秒)]]/3600</f>
        <v>90</v>
      </c>
      <c r="H59" s="34" t="e">
        <f t="shared" si="3"/>
        <v>#N/A</v>
      </c>
    </row>
    <row r="60" spans="1:8" x14ac:dyDescent="0.3">
      <c r="A60" s="19">
        <f>'手簿 (Handbook)'!D60+'手簿 (Handbook)'!E60/60+'手簿 (Handbook)'!F60/3600</f>
        <v>0</v>
      </c>
      <c r="B60" s="19" t="e">
        <f t="shared" si="0"/>
        <v>#N/A</v>
      </c>
      <c r="C60" s="19" t="e">
        <f>_xlfn.XLOOKUP('手簿 (Handbook)'!B60,TB1Control[點號],TB1Control[E座標])-_xlfn.XLOOKUP('手簿 (Handbook)'!A60,TB1Control[點號],TB1Control[E座標])</f>
        <v>#N/A</v>
      </c>
      <c r="D60" s="19" t="e">
        <f>_xlfn.XLOOKUP('手簿 (Handbook)'!B60,TB1Control[點號],TB1Control[N座標])-_xlfn.XLOOKUP('手簿 (Handbook)'!A60,TB1Control[點號],TB1Control[N座標])</f>
        <v>#N/A</v>
      </c>
      <c r="E60" s="19" t="e">
        <f t="shared" si="1"/>
        <v>#N/A</v>
      </c>
      <c r="F60" s="19" t="e">
        <f t="shared" si="2"/>
        <v>#N/A</v>
      </c>
      <c r="G60" s="19">
        <f>90-TB2Handbook[[#This Row],[天頂距(度)]]+TB2Handbook[[#This Row],[天頂距(分)]]/60+TB2Handbook[[#This Row],[天頂距(秒)]]/3600</f>
        <v>90</v>
      </c>
      <c r="H60" s="34" t="e">
        <f t="shared" si="3"/>
        <v>#N/A</v>
      </c>
    </row>
    <row r="61" spans="1:8" x14ac:dyDescent="0.3">
      <c r="A61" s="19">
        <f>'手簿 (Handbook)'!D61+'手簿 (Handbook)'!E61/60+'手簿 (Handbook)'!F61/3600</f>
        <v>0</v>
      </c>
      <c r="B61" s="19" t="e">
        <f t="shared" si="0"/>
        <v>#N/A</v>
      </c>
      <c r="C61" s="19" t="e">
        <f>_xlfn.XLOOKUP('手簿 (Handbook)'!B61,TB1Control[點號],TB1Control[E座標])-_xlfn.XLOOKUP('手簿 (Handbook)'!A61,TB1Control[點號],TB1Control[E座標])</f>
        <v>#N/A</v>
      </c>
      <c r="D61" s="19" t="e">
        <f>_xlfn.XLOOKUP('手簿 (Handbook)'!B61,TB1Control[點號],TB1Control[N座標])-_xlfn.XLOOKUP('手簿 (Handbook)'!A61,TB1Control[點號],TB1Control[N座標])</f>
        <v>#N/A</v>
      </c>
      <c r="E61" s="19" t="e">
        <f t="shared" si="1"/>
        <v>#N/A</v>
      </c>
      <c r="F61" s="19" t="e">
        <f t="shared" si="2"/>
        <v>#N/A</v>
      </c>
      <c r="G61" s="19">
        <f>90-TB2Handbook[[#This Row],[天頂距(度)]]+TB2Handbook[[#This Row],[天頂距(分)]]/60+TB2Handbook[[#This Row],[天頂距(秒)]]/3600</f>
        <v>90</v>
      </c>
      <c r="H61" s="34" t="e">
        <f t="shared" si="3"/>
        <v>#N/A</v>
      </c>
    </row>
    <row r="62" spans="1:8" x14ac:dyDescent="0.3">
      <c r="A62" s="19">
        <f>'手簿 (Handbook)'!D62+'手簿 (Handbook)'!E62/60+'手簿 (Handbook)'!F62/3600</f>
        <v>0</v>
      </c>
      <c r="B62" s="19" t="e">
        <f t="shared" si="0"/>
        <v>#N/A</v>
      </c>
      <c r="C62" s="19" t="e">
        <f>_xlfn.XLOOKUP('手簿 (Handbook)'!B62,TB1Control[點號],TB1Control[E座標])-_xlfn.XLOOKUP('手簿 (Handbook)'!A62,TB1Control[點號],TB1Control[E座標])</f>
        <v>#N/A</v>
      </c>
      <c r="D62" s="19" t="e">
        <f>_xlfn.XLOOKUP('手簿 (Handbook)'!B62,TB1Control[點號],TB1Control[N座標])-_xlfn.XLOOKUP('手簿 (Handbook)'!A62,TB1Control[點號],TB1Control[N座標])</f>
        <v>#N/A</v>
      </c>
      <c r="E62" s="19" t="e">
        <f t="shared" si="1"/>
        <v>#N/A</v>
      </c>
      <c r="F62" s="19" t="e">
        <f t="shared" si="2"/>
        <v>#N/A</v>
      </c>
      <c r="G62" s="19">
        <f>90-TB2Handbook[[#This Row],[天頂距(度)]]+TB2Handbook[[#This Row],[天頂距(分)]]/60+TB2Handbook[[#This Row],[天頂距(秒)]]/3600</f>
        <v>90</v>
      </c>
      <c r="H62" s="34" t="e">
        <f t="shared" si="3"/>
        <v>#N/A</v>
      </c>
    </row>
    <row r="63" spans="1:8" x14ac:dyDescent="0.3">
      <c r="A63" s="19">
        <f>'手簿 (Handbook)'!D63+'手簿 (Handbook)'!E63/60+'手簿 (Handbook)'!F63/3600</f>
        <v>0</v>
      </c>
      <c r="B63" s="19" t="e">
        <f t="shared" si="0"/>
        <v>#N/A</v>
      </c>
      <c r="C63" s="19" t="e">
        <f>_xlfn.XLOOKUP('手簿 (Handbook)'!B63,TB1Control[點號],TB1Control[E座標])-_xlfn.XLOOKUP('手簿 (Handbook)'!A63,TB1Control[點號],TB1Control[E座標])</f>
        <v>#N/A</v>
      </c>
      <c r="D63" s="19" t="e">
        <f>_xlfn.XLOOKUP('手簿 (Handbook)'!B63,TB1Control[點號],TB1Control[N座標])-_xlfn.XLOOKUP('手簿 (Handbook)'!A63,TB1Control[點號],TB1Control[N座標])</f>
        <v>#N/A</v>
      </c>
      <c r="E63" s="19" t="e">
        <f t="shared" si="1"/>
        <v>#N/A</v>
      </c>
      <c r="F63" s="19" t="e">
        <f t="shared" si="2"/>
        <v>#N/A</v>
      </c>
      <c r="G63" s="19">
        <f>90-TB2Handbook[[#This Row],[天頂距(度)]]+TB2Handbook[[#This Row],[天頂距(分)]]/60+TB2Handbook[[#This Row],[天頂距(秒)]]/3600</f>
        <v>90</v>
      </c>
      <c r="H63" s="34" t="e">
        <f t="shared" si="3"/>
        <v>#N/A</v>
      </c>
    </row>
    <row r="64" spans="1:8" x14ac:dyDescent="0.3">
      <c r="A64" s="19">
        <f>'手簿 (Handbook)'!D64+'手簿 (Handbook)'!E64/60+'手簿 (Handbook)'!F64/3600</f>
        <v>0</v>
      </c>
      <c r="B64" s="19" t="e">
        <f t="shared" si="0"/>
        <v>#N/A</v>
      </c>
      <c r="C64" s="19" t="e">
        <f>_xlfn.XLOOKUP('手簿 (Handbook)'!B64,TB1Control[點號],TB1Control[E座標])-_xlfn.XLOOKUP('手簿 (Handbook)'!A64,TB1Control[點號],TB1Control[E座標])</f>
        <v>#N/A</v>
      </c>
      <c r="D64" s="19" t="e">
        <f>_xlfn.XLOOKUP('手簿 (Handbook)'!B64,TB1Control[點號],TB1Control[N座標])-_xlfn.XLOOKUP('手簿 (Handbook)'!A64,TB1Control[點號],TB1Control[N座標])</f>
        <v>#N/A</v>
      </c>
      <c r="E64" s="19" t="e">
        <f t="shared" si="1"/>
        <v>#N/A</v>
      </c>
      <c r="F64" s="19" t="e">
        <f t="shared" si="2"/>
        <v>#N/A</v>
      </c>
      <c r="G64" s="19">
        <f>90-TB2Handbook[[#This Row],[天頂距(度)]]+TB2Handbook[[#This Row],[天頂距(分)]]/60+TB2Handbook[[#This Row],[天頂距(秒)]]/3600</f>
        <v>90</v>
      </c>
      <c r="H64" s="34" t="e">
        <f t="shared" si="3"/>
        <v>#N/A</v>
      </c>
    </row>
    <row r="65" spans="1:8" x14ac:dyDescent="0.3">
      <c r="A65" s="19">
        <f>'手簿 (Handbook)'!D65+'手簿 (Handbook)'!E65/60+'手簿 (Handbook)'!F65/3600</f>
        <v>0</v>
      </c>
      <c r="B65" s="19" t="e">
        <f t="shared" si="0"/>
        <v>#N/A</v>
      </c>
      <c r="C65" s="19" t="e">
        <f>_xlfn.XLOOKUP('手簿 (Handbook)'!B65,TB1Control[點號],TB1Control[E座標])-_xlfn.XLOOKUP('手簿 (Handbook)'!A65,TB1Control[點號],TB1Control[E座標])</f>
        <v>#N/A</v>
      </c>
      <c r="D65" s="19" t="e">
        <f>_xlfn.XLOOKUP('手簿 (Handbook)'!B65,TB1Control[點號],TB1Control[N座標])-_xlfn.XLOOKUP('手簿 (Handbook)'!A65,TB1Control[點號],TB1Control[N座標])</f>
        <v>#N/A</v>
      </c>
      <c r="E65" s="19" t="e">
        <f t="shared" si="1"/>
        <v>#N/A</v>
      </c>
      <c r="F65" s="19" t="e">
        <f t="shared" si="2"/>
        <v>#N/A</v>
      </c>
      <c r="G65" s="19">
        <f>90-TB2Handbook[[#This Row],[天頂距(度)]]+TB2Handbook[[#This Row],[天頂距(分)]]/60+TB2Handbook[[#This Row],[天頂距(秒)]]/3600</f>
        <v>90</v>
      </c>
      <c r="H65" s="34" t="e">
        <f t="shared" si="3"/>
        <v>#N/A</v>
      </c>
    </row>
    <row r="66" spans="1:8" x14ac:dyDescent="0.3">
      <c r="A66" s="19">
        <f>'手簿 (Handbook)'!D66+'手簿 (Handbook)'!E66/60+'手簿 (Handbook)'!F66/3600</f>
        <v>0</v>
      </c>
      <c r="B66" s="19" t="e">
        <f t="shared" si="0"/>
        <v>#N/A</v>
      </c>
      <c r="C66" s="19" t="e">
        <f>_xlfn.XLOOKUP('手簿 (Handbook)'!B66,TB1Control[點號],TB1Control[E座標])-_xlfn.XLOOKUP('手簿 (Handbook)'!A66,TB1Control[點號],TB1Control[E座標])</f>
        <v>#N/A</v>
      </c>
      <c r="D66" s="19" t="e">
        <f>_xlfn.XLOOKUP('手簿 (Handbook)'!B66,TB1Control[點號],TB1Control[N座標])-_xlfn.XLOOKUP('手簿 (Handbook)'!A66,TB1Control[點號],TB1Control[N座標])</f>
        <v>#N/A</v>
      </c>
      <c r="E66" s="19" t="e">
        <f t="shared" si="1"/>
        <v>#N/A</v>
      </c>
      <c r="F66" s="19" t="e">
        <f t="shared" si="2"/>
        <v>#N/A</v>
      </c>
      <c r="G66" s="19">
        <f>90-TB2Handbook[[#This Row],[天頂距(度)]]+TB2Handbook[[#This Row],[天頂距(分)]]/60+TB2Handbook[[#This Row],[天頂距(秒)]]/3600</f>
        <v>90</v>
      </c>
      <c r="H66" s="34" t="e">
        <f t="shared" si="3"/>
        <v>#N/A</v>
      </c>
    </row>
    <row r="67" spans="1:8" x14ac:dyDescent="0.3">
      <c r="A67" s="19">
        <f>'手簿 (Handbook)'!D67+'手簿 (Handbook)'!E67/60+'手簿 (Handbook)'!F67/3600</f>
        <v>0</v>
      </c>
      <c r="B67" s="19" t="e">
        <f t="shared" ref="B67:B100" si="4">IF((A67+H67)&gt;360,(A67+H67)-360,(A67+H67))</f>
        <v>#N/A</v>
      </c>
      <c r="C67" s="19" t="e">
        <f>_xlfn.XLOOKUP('手簿 (Handbook)'!B67,TB1Control[點號],TB1Control[E座標])-_xlfn.XLOOKUP('手簿 (Handbook)'!A67,TB1Control[點號],TB1Control[E座標])</f>
        <v>#N/A</v>
      </c>
      <c r="D67" s="19" t="e">
        <f>_xlfn.XLOOKUP('手簿 (Handbook)'!B67,TB1Control[點號],TB1Control[N座標])-_xlfn.XLOOKUP('手簿 (Handbook)'!A67,TB1Control[點號],TB1Control[N座標])</f>
        <v>#N/A</v>
      </c>
      <c r="E67" s="19" t="e">
        <f t="shared" ref="E67:E100" si="5">C67/D67</f>
        <v>#N/A</v>
      </c>
      <c r="F67" s="19" t="e">
        <f t="shared" ref="F67:F100" si="6">DEGREES(ATAN(E67))</f>
        <v>#N/A</v>
      </c>
      <c r="G67" s="19">
        <f>90-TB2Handbook[[#This Row],[天頂距(度)]]+TB2Handbook[[#This Row],[天頂距(分)]]/60+TB2Handbook[[#This Row],[天頂距(秒)]]/3600</f>
        <v>90</v>
      </c>
      <c r="H67" s="34" t="e">
        <f t="shared" ref="H67:H100" si="7">IF(AND(C67&gt;0,D67&gt;0),F67,IF(AND(C67&lt;0,D67&gt;0),F67+360,IF(AND(C67&lt;0,D67&lt;0),F67+180,IF(AND(C67&gt;0,D67&lt;0),F67-180))))</f>
        <v>#N/A</v>
      </c>
    </row>
    <row r="68" spans="1:8" x14ac:dyDescent="0.3">
      <c r="A68" s="19">
        <f>'手簿 (Handbook)'!D68+'手簿 (Handbook)'!E68/60+'手簿 (Handbook)'!F68/3600</f>
        <v>0</v>
      </c>
      <c r="B68" s="19" t="e">
        <f t="shared" si="4"/>
        <v>#N/A</v>
      </c>
      <c r="C68" s="19" t="e">
        <f>_xlfn.XLOOKUP('手簿 (Handbook)'!B68,TB1Control[點號],TB1Control[E座標])-_xlfn.XLOOKUP('手簿 (Handbook)'!A68,TB1Control[點號],TB1Control[E座標])</f>
        <v>#N/A</v>
      </c>
      <c r="D68" s="19" t="e">
        <f>_xlfn.XLOOKUP('手簿 (Handbook)'!B68,TB1Control[點號],TB1Control[N座標])-_xlfn.XLOOKUP('手簿 (Handbook)'!A68,TB1Control[點號],TB1Control[N座標])</f>
        <v>#N/A</v>
      </c>
      <c r="E68" s="19" t="e">
        <f t="shared" si="5"/>
        <v>#N/A</v>
      </c>
      <c r="F68" s="19" t="e">
        <f t="shared" si="6"/>
        <v>#N/A</v>
      </c>
      <c r="G68" s="19">
        <f>90-TB2Handbook[[#This Row],[天頂距(度)]]+TB2Handbook[[#This Row],[天頂距(分)]]/60+TB2Handbook[[#This Row],[天頂距(秒)]]/3600</f>
        <v>90</v>
      </c>
      <c r="H68" s="34" t="e">
        <f t="shared" si="7"/>
        <v>#N/A</v>
      </c>
    </row>
    <row r="69" spans="1:8" x14ac:dyDescent="0.3">
      <c r="A69" s="19">
        <f>'手簿 (Handbook)'!D69+'手簿 (Handbook)'!E69/60+'手簿 (Handbook)'!F69/3600</f>
        <v>0</v>
      </c>
      <c r="B69" s="19" t="e">
        <f t="shared" si="4"/>
        <v>#N/A</v>
      </c>
      <c r="C69" s="19" t="e">
        <f>_xlfn.XLOOKUP('手簿 (Handbook)'!B69,TB1Control[點號],TB1Control[E座標])-_xlfn.XLOOKUP('手簿 (Handbook)'!A69,TB1Control[點號],TB1Control[E座標])</f>
        <v>#N/A</v>
      </c>
      <c r="D69" s="19" t="e">
        <f>_xlfn.XLOOKUP('手簿 (Handbook)'!B69,TB1Control[點號],TB1Control[N座標])-_xlfn.XLOOKUP('手簿 (Handbook)'!A69,TB1Control[點號],TB1Control[N座標])</f>
        <v>#N/A</v>
      </c>
      <c r="E69" s="19" t="e">
        <f t="shared" si="5"/>
        <v>#N/A</v>
      </c>
      <c r="F69" s="19" t="e">
        <f t="shared" si="6"/>
        <v>#N/A</v>
      </c>
      <c r="G69" s="19">
        <f>90-TB2Handbook[[#This Row],[天頂距(度)]]+TB2Handbook[[#This Row],[天頂距(分)]]/60+TB2Handbook[[#This Row],[天頂距(秒)]]/3600</f>
        <v>90</v>
      </c>
      <c r="H69" s="34" t="e">
        <f t="shared" si="7"/>
        <v>#N/A</v>
      </c>
    </row>
    <row r="70" spans="1:8" x14ac:dyDescent="0.3">
      <c r="A70" s="19">
        <f>'手簿 (Handbook)'!D70+'手簿 (Handbook)'!E70/60+'手簿 (Handbook)'!F70/3600</f>
        <v>0</v>
      </c>
      <c r="B70" s="19" t="e">
        <f t="shared" si="4"/>
        <v>#N/A</v>
      </c>
      <c r="C70" s="19" t="e">
        <f>_xlfn.XLOOKUP('手簿 (Handbook)'!B70,TB1Control[點號],TB1Control[E座標])-_xlfn.XLOOKUP('手簿 (Handbook)'!A70,TB1Control[點號],TB1Control[E座標])</f>
        <v>#N/A</v>
      </c>
      <c r="D70" s="19" t="e">
        <f>_xlfn.XLOOKUP('手簿 (Handbook)'!B70,TB1Control[點號],TB1Control[N座標])-_xlfn.XLOOKUP('手簿 (Handbook)'!A70,TB1Control[點號],TB1Control[N座標])</f>
        <v>#N/A</v>
      </c>
      <c r="E70" s="19" t="e">
        <f t="shared" si="5"/>
        <v>#N/A</v>
      </c>
      <c r="F70" s="19" t="e">
        <f t="shared" si="6"/>
        <v>#N/A</v>
      </c>
      <c r="G70" s="19">
        <f>90-TB2Handbook[[#This Row],[天頂距(度)]]+TB2Handbook[[#This Row],[天頂距(分)]]/60+TB2Handbook[[#This Row],[天頂距(秒)]]/3600</f>
        <v>90</v>
      </c>
      <c r="H70" s="34" t="e">
        <f t="shared" si="7"/>
        <v>#N/A</v>
      </c>
    </row>
    <row r="71" spans="1:8" x14ac:dyDescent="0.3">
      <c r="A71" s="19">
        <f>'手簿 (Handbook)'!D71+'手簿 (Handbook)'!E71/60+'手簿 (Handbook)'!F71/3600</f>
        <v>0</v>
      </c>
      <c r="B71" s="19" t="e">
        <f t="shared" si="4"/>
        <v>#N/A</v>
      </c>
      <c r="C71" s="19" t="e">
        <f>_xlfn.XLOOKUP('手簿 (Handbook)'!B71,TB1Control[點號],TB1Control[E座標])-_xlfn.XLOOKUP('手簿 (Handbook)'!A71,TB1Control[點號],TB1Control[E座標])</f>
        <v>#N/A</v>
      </c>
      <c r="D71" s="19" t="e">
        <f>_xlfn.XLOOKUP('手簿 (Handbook)'!B71,TB1Control[點號],TB1Control[N座標])-_xlfn.XLOOKUP('手簿 (Handbook)'!A71,TB1Control[點號],TB1Control[N座標])</f>
        <v>#N/A</v>
      </c>
      <c r="E71" s="19" t="e">
        <f t="shared" si="5"/>
        <v>#N/A</v>
      </c>
      <c r="F71" s="19" t="e">
        <f t="shared" si="6"/>
        <v>#N/A</v>
      </c>
      <c r="G71" s="19">
        <f>90-TB2Handbook[[#This Row],[天頂距(度)]]+TB2Handbook[[#This Row],[天頂距(分)]]/60+TB2Handbook[[#This Row],[天頂距(秒)]]/3600</f>
        <v>90</v>
      </c>
      <c r="H71" s="34" t="e">
        <f t="shared" si="7"/>
        <v>#N/A</v>
      </c>
    </row>
    <row r="72" spans="1:8" x14ac:dyDescent="0.3">
      <c r="A72" s="19">
        <f>'手簿 (Handbook)'!D72+'手簿 (Handbook)'!E72/60+'手簿 (Handbook)'!F72/3600</f>
        <v>0</v>
      </c>
      <c r="B72" s="19" t="e">
        <f t="shared" si="4"/>
        <v>#N/A</v>
      </c>
      <c r="C72" s="19" t="e">
        <f>_xlfn.XLOOKUP('手簿 (Handbook)'!B72,TB1Control[點號],TB1Control[E座標])-_xlfn.XLOOKUP('手簿 (Handbook)'!A72,TB1Control[點號],TB1Control[E座標])</f>
        <v>#N/A</v>
      </c>
      <c r="D72" s="19" t="e">
        <f>_xlfn.XLOOKUP('手簿 (Handbook)'!B72,TB1Control[點號],TB1Control[N座標])-_xlfn.XLOOKUP('手簿 (Handbook)'!A72,TB1Control[點號],TB1Control[N座標])</f>
        <v>#N/A</v>
      </c>
      <c r="E72" s="19" t="e">
        <f t="shared" si="5"/>
        <v>#N/A</v>
      </c>
      <c r="F72" s="19" t="e">
        <f t="shared" si="6"/>
        <v>#N/A</v>
      </c>
      <c r="G72" s="19">
        <f>90-TB2Handbook[[#This Row],[天頂距(度)]]+TB2Handbook[[#This Row],[天頂距(分)]]/60+TB2Handbook[[#This Row],[天頂距(秒)]]/3600</f>
        <v>90</v>
      </c>
      <c r="H72" s="34" t="e">
        <f t="shared" si="7"/>
        <v>#N/A</v>
      </c>
    </row>
    <row r="73" spans="1:8" x14ac:dyDescent="0.3">
      <c r="A73" s="19">
        <f>'手簿 (Handbook)'!D73+'手簿 (Handbook)'!E73/60+'手簿 (Handbook)'!F73/3600</f>
        <v>0</v>
      </c>
      <c r="B73" s="19" t="e">
        <f t="shared" si="4"/>
        <v>#N/A</v>
      </c>
      <c r="C73" s="19" t="e">
        <f>_xlfn.XLOOKUP('手簿 (Handbook)'!B73,TB1Control[點號],TB1Control[E座標])-_xlfn.XLOOKUP('手簿 (Handbook)'!A73,TB1Control[點號],TB1Control[E座標])</f>
        <v>#N/A</v>
      </c>
      <c r="D73" s="19" t="e">
        <f>_xlfn.XLOOKUP('手簿 (Handbook)'!B73,TB1Control[點號],TB1Control[N座標])-_xlfn.XLOOKUP('手簿 (Handbook)'!A73,TB1Control[點號],TB1Control[N座標])</f>
        <v>#N/A</v>
      </c>
      <c r="E73" s="19" t="e">
        <f t="shared" si="5"/>
        <v>#N/A</v>
      </c>
      <c r="F73" s="19" t="e">
        <f t="shared" si="6"/>
        <v>#N/A</v>
      </c>
      <c r="G73" s="19">
        <f>90-TB2Handbook[[#This Row],[天頂距(度)]]+TB2Handbook[[#This Row],[天頂距(分)]]/60+TB2Handbook[[#This Row],[天頂距(秒)]]/3600</f>
        <v>90</v>
      </c>
      <c r="H73" s="34" t="e">
        <f t="shared" si="7"/>
        <v>#N/A</v>
      </c>
    </row>
    <row r="74" spans="1:8" x14ac:dyDescent="0.3">
      <c r="A74" s="19">
        <f>'手簿 (Handbook)'!D74+'手簿 (Handbook)'!E74/60+'手簿 (Handbook)'!F74/3600</f>
        <v>0</v>
      </c>
      <c r="B74" s="19" t="e">
        <f t="shared" si="4"/>
        <v>#N/A</v>
      </c>
      <c r="C74" s="19" t="e">
        <f>_xlfn.XLOOKUP('手簿 (Handbook)'!B74,TB1Control[點號],TB1Control[E座標])-_xlfn.XLOOKUP('手簿 (Handbook)'!A74,TB1Control[點號],TB1Control[E座標])</f>
        <v>#N/A</v>
      </c>
      <c r="D74" s="19" t="e">
        <f>_xlfn.XLOOKUP('手簿 (Handbook)'!B74,TB1Control[點號],TB1Control[N座標])-_xlfn.XLOOKUP('手簿 (Handbook)'!A74,TB1Control[點號],TB1Control[N座標])</f>
        <v>#N/A</v>
      </c>
      <c r="E74" s="19" t="e">
        <f t="shared" si="5"/>
        <v>#N/A</v>
      </c>
      <c r="F74" s="19" t="e">
        <f t="shared" si="6"/>
        <v>#N/A</v>
      </c>
      <c r="G74" s="19">
        <f>90-TB2Handbook[[#This Row],[天頂距(度)]]+TB2Handbook[[#This Row],[天頂距(分)]]/60+TB2Handbook[[#This Row],[天頂距(秒)]]/3600</f>
        <v>90</v>
      </c>
      <c r="H74" s="34" t="e">
        <f t="shared" si="7"/>
        <v>#N/A</v>
      </c>
    </row>
    <row r="75" spans="1:8" x14ac:dyDescent="0.3">
      <c r="A75" s="19">
        <f>'手簿 (Handbook)'!D75+'手簿 (Handbook)'!E75/60+'手簿 (Handbook)'!F75/3600</f>
        <v>0</v>
      </c>
      <c r="B75" s="19" t="e">
        <f t="shared" si="4"/>
        <v>#N/A</v>
      </c>
      <c r="C75" s="19" t="e">
        <f>_xlfn.XLOOKUP('手簿 (Handbook)'!B75,TB1Control[點號],TB1Control[E座標])-_xlfn.XLOOKUP('手簿 (Handbook)'!A75,TB1Control[點號],TB1Control[E座標])</f>
        <v>#N/A</v>
      </c>
      <c r="D75" s="19" t="e">
        <f>_xlfn.XLOOKUP('手簿 (Handbook)'!B75,TB1Control[點號],TB1Control[N座標])-_xlfn.XLOOKUP('手簿 (Handbook)'!A75,TB1Control[點號],TB1Control[N座標])</f>
        <v>#N/A</v>
      </c>
      <c r="E75" s="19" t="e">
        <f t="shared" si="5"/>
        <v>#N/A</v>
      </c>
      <c r="F75" s="19" t="e">
        <f t="shared" si="6"/>
        <v>#N/A</v>
      </c>
      <c r="G75" s="19">
        <f>90-TB2Handbook[[#This Row],[天頂距(度)]]+TB2Handbook[[#This Row],[天頂距(分)]]/60+TB2Handbook[[#This Row],[天頂距(秒)]]/3600</f>
        <v>90</v>
      </c>
      <c r="H75" s="34" t="e">
        <f t="shared" si="7"/>
        <v>#N/A</v>
      </c>
    </row>
    <row r="76" spans="1:8" x14ac:dyDescent="0.3">
      <c r="A76" s="19">
        <f>'手簿 (Handbook)'!D76+'手簿 (Handbook)'!E76/60+'手簿 (Handbook)'!F76/3600</f>
        <v>0</v>
      </c>
      <c r="B76" s="19" t="e">
        <f t="shared" si="4"/>
        <v>#N/A</v>
      </c>
      <c r="C76" s="19" t="e">
        <f>_xlfn.XLOOKUP('手簿 (Handbook)'!B76,TB1Control[點號],TB1Control[E座標])-_xlfn.XLOOKUP('手簿 (Handbook)'!A76,TB1Control[點號],TB1Control[E座標])</f>
        <v>#N/A</v>
      </c>
      <c r="D76" s="19" t="e">
        <f>_xlfn.XLOOKUP('手簿 (Handbook)'!B76,TB1Control[點號],TB1Control[N座標])-_xlfn.XLOOKUP('手簿 (Handbook)'!A76,TB1Control[點號],TB1Control[N座標])</f>
        <v>#N/A</v>
      </c>
      <c r="E76" s="19" t="e">
        <f t="shared" si="5"/>
        <v>#N/A</v>
      </c>
      <c r="F76" s="19" t="e">
        <f t="shared" si="6"/>
        <v>#N/A</v>
      </c>
      <c r="G76" s="19">
        <f>90-TB2Handbook[[#This Row],[天頂距(度)]]+TB2Handbook[[#This Row],[天頂距(分)]]/60+TB2Handbook[[#This Row],[天頂距(秒)]]/3600</f>
        <v>90</v>
      </c>
      <c r="H76" s="34" t="e">
        <f t="shared" si="7"/>
        <v>#N/A</v>
      </c>
    </row>
    <row r="77" spans="1:8" x14ac:dyDescent="0.3">
      <c r="A77" s="19">
        <f>'手簿 (Handbook)'!D77+'手簿 (Handbook)'!E77/60+'手簿 (Handbook)'!F77/3600</f>
        <v>0</v>
      </c>
      <c r="B77" s="19" t="e">
        <f t="shared" si="4"/>
        <v>#N/A</v>
      </c>
      <c r="C77" s="19" t="e">
        <f>_xlfn.XLOOKUP('手簿 (Handbook)'!B77,TB1Control[點號],TB1Control[E座標])-_xlfn.XLOOKUP('手簿 (Handbook)'!A77,TB1Control[點號],TB1Control[E座標])</f>
        <v>#N/A</v>
      </c>
      <c r="D77" s="19" t="e">
        <f>_xlfn.XLOOKUP('手簿 (Handbook)'!B77,TB1Control[點號],TB1Control[N座標])-_xlfn.XLOOKUP('手簿 (Handbook)'!A77,TB1Control[點號],TB1Control[N座標])</f>
        <v>#N/A</v>
      </c>
      <c r="E77" s="19" t="e">
        <f t="shared" si="5"/>
        <v>#N/A</v>
      </c>
      <c r="F77" s="19" t="e">
        <f t="shared" si="6"/>
        <v>#N/A</v>
      </c>
      <c r="G77" s="19">
        <f>90-TB2Handbook[[#This Row],[天頂距(度)]]+TB2Handbook[[#This Row],[天頂距(分)]]/60+TB2Handbook[[#This Row],[天頂距(秒)]]/3600</f>
        <v>90</v>
      </c>
      <c r="H77" s="34" t="e">
        <f t="shared" si="7"/>
        <v>#N/A</v>
      </c>
    </row>
    <row r="78" spans="1:8" x14ac:dyDescent="0.3">
      <c r="A78" s="19">
        <f>'手簿 (Handbook)'!D78+'手簿 (Handbook)'!E78/60+'手簿 (Handbook)'!F78/3600</f>
        <v>0</v>
      </c>
      <c r="B78" s="19" t="e">
        <f t="shared" si="4"/>
        <v>#N/A</v>
      </c>
      <c r="C78" s="19" t="e">
        <f>_xlfn.XLOOKUP('手簿 (Handbook)'!B78,TB1Control[點號],TB1Control[E座標])-_xlfn.XLOOKUP('手簿 (Handbook)'!A78,TB1Control[點號],TB1Control[E座標])</f>
        <v>#N/A</v>
      </c>
      <c r="D78" s="19" t="e">
        <f>_xlfn.XLOOKUP('手簿 (Handbook)'!B78,TB1Control[點號],TB1Control[N座標])-_xlfn.XLOOKUP('手簿 (Handbook)'!A78,TB1Control[點號],TB1Control[N座標])</f>
        <v>#N/A</v>
      </c>
      <c r="E78" s="19" t="e">
        <f t="shared" si="5"/>
        <v>#N/A</v>
      </c>
      <c r="F78" s="19" t="e">
        <f t="shared" si="6"/>
        <v>#N/A</v>
      </c>
      <c r="G78" s="19">
        <f>90-TB2Handbook[[#This Row],[天頂距(度)]]+TB2Handbook[[#This Row],[天頂距(分)]]/60+TB2Handbook[[#This Row],[天頂距(秒)]]/3600</f>
        <v>90</v>
      </c>
      <c r="H78" s="34" t="e">
        <f t="shared" si="7"/>
        <v>#N/A</v>
      </c>
    </row>
    <row r="79" spans="1:8" x14ac:dyDescent="0.3">
      <c r="A79" s="19">
        <f>'手簿 (Handbook)'!D79+'手簿 (Handbook)'!E79/60+'手簿 (Handbook)'!F79/3600</f>
        <v>0</v>
      </c>
      <c r="B79" s="19" t="e">
        <f t="shared" si="4"/>
        <v>#N/A</v>
      </c>
      <c r="C79" s="19" t="e">
        <f>_xlfn.XLOOKUP('手簿 (Handbook)'!B79,TB1Control[點號],TB1Control[E座標])-_xlfn.XLOOKUP('手簿 (Handbook)'!A79,TB1Control[點號],TB1Control[E座標])</f>
        <v>#N/A</v>
      </c>
      <c r="D79" s="19" t="e">
        <f>_xlfn.XLOOKUP('手簿 (Handbook)'!B79,TB1Control[點號],TB1Control[N座標])-_xlfn.XLOOKUP('手簿 (Handbook)'!A79,TB1Control[點號],TB1Control[N座標])</f>
        <v>#N/A</v>
      </c>
      <c r="E79" s="19" t="e">
        <f t="shared" si="5"/>
        <v>#N/A</v>
      </c>
      <c r="F79" s="19" t="e">
        <f t="shared" si="6"/>
        <v>#N/A</v>
      </c>
      <c r="G79" s="19">
        <f>90-TB2Handbook[[#This Row],[天頂距(度)]]+TB2Handbook[[#This Row],[天頂距(分)]]/60+TB2Handbook[[#This Row],[天頂距(秒)]]/3600</f>
        <v>90</v>
      </c>
      <c r="H79" s="34" t="e">
        <f t="shared" si="7"/>
        <v>#N/A</v>
      </c>
    </row>
    <row r="80" spans="1:8" x14ac:dyDescent="0.3">
      <c r="A80" s="19">
        <f>'手簿 (Handbook)'!D80+'手簿 (Handbook)'!E80/60+'手簿 (Handbook)'!F80/3600</f>
        <v>0</v>
      </c>
      <c r="B80" s="19" t="e">
        <f t="shared" si="4"/>
        <v>#N/A</v>
      </c>
      <c r="C80" s="19" t="e">
        <f>_xlfn.XLOOKUP('手簿 (Handbook)'!B80,TB1Control[點號],TB1Control[E座標])-_xlfn.XLOOKUP('手簿 (Handbook)'!A80,TB1Control[點號],TB1Control[E座標])</f>
        <v>#N/A</v>
      </c>
      <c r="D80" s="19" t="e">
        <f>_xlfn.XLOOKUP('手簿 (Handbook)'!B80,TB1Control[點號],TB1Control[N座標])-_xlfn.XLOOKUP('手簿 (Handbook)'!A80,TB1Control[點號],TB1Control[N座標])</f>
        <v>#N/A</v>
      </c>
      <c r="E80" s="19" t="e">
        <f t="shared" si="5"/>
        <v>#N/A</v>
      </c>
      <c r="F80" s="19" t="e">
        <f t="shared" si="6"/>
        <v>#N/A</v>
      </c>
      <c r="G80" s="19">
        <f>90-TB2Handbook[[#This Row],[天頂距(度)]]+TB2Handbook[[#This Row],[天頂距(分)]]/60+TB2Handbook[[#This Row],[天頂距(秒)]]/3600</f>
        <v>90</v>
      </c>
      <c r="H80" s="34" t="e">
        <f t="shared" si="7"/>
        <v>#N/A</v>
      </c>
    </row>
    <row r="81" spans="1:8" x14ac:dyDescent="0.3">
      <c r="A81" s="19">
        <f>'手簿 (Handbook)'!D81+'手簿 (Handbook)'!E81/60+'手簿 (Handbook)'!F81/3600</f>
        <v>0</v>
      </c>
      <c r="B81" s="19" t="e">
        <f t="shared" si="4"/>
        <v>#N/A</v>
      </c>
      <c r="C81" s="19" t="e">
        <f>_xlfn.XLOOKUP('手簿 (Handbook)'!B81,TB1Control[點號],TB1Control[E座標])-_xlfn.XLOOKUP('手簿 (Handbook)'!A81,TB1Control[點號],TB1Control[E座標])</f>
        <v>#N/A</v>
      </c>
      <c r="D81" s="19" t="e">
        <f>_xlfn.XLOOKUP('手簿 (Handbook)'!B81,TB1Control[點號],TB1Control[N座標])-_xlfn.XLOOKUP('手簿 (Handbook)'!A81,TB1Control[點號],TB1Control[N座標])</f>
        <v>#N/A</v>
      </c>
      <c r="E81" s="19" t="e">
        <f t="shared" si="5"/>
        <v>#N/A</v>
      </c>
      <c r="F81" s="19" t="e">
        <f t="shared" si="6"/>
        <v>#N/A</v>
      </c>
      <c r="G81" s="19">
        <f>90-TB2Handbook[[#This Row],[天頂距(度)]]+TB2Handbook[[#This Row],[天頂距(分)]]/60+TB2Handbook[[#This Row],[天頂距(秒)]]/3600</f>
        <v>90</v>
      </c>
      <c r="H81" s="34" t="e">
        <f t="shared" si="7"/>
        <v>#N/A</v>
      </c>
    </row>
    <row r="82" spans="1:8" x14ac:dyDescent="0.3">
      <c r="A82" s="19">
        <f>'手簿 (Handbook)'!D82+'手簿 (Handbook)'!E82/60+'手簿 (Handbook)'!F82/3600</f>
        <v>0</v>
      </c>
      <c r="B82" s="19" t="e">
        <f t="shared" si="4"/>
        <v>#N/A</v>
      </c>
      <c r="C82" s="19" t="e">
        <f>_xlfn.XLOOKUP('手簿 (Handbook)'!B82,TB1Control[點號],TB1Control[E座標])-_xlfn.XLOOKUP('手簿 (Handbook)'!A82,TB1Control[點號],TB1Control[E座標])</f>
        <v>#N/A</v>
      </c>
      <c r="D82" s="19" t="e">
        <f>_xlfn.XLOOKUP('手簿 (Handbook)'!B82,TB1Control[點號],TB1Control[N座標])-_xlfn.XLOOKUP('手簿 (Handbook)'!A82,TB1Control[點號],TB1Control[N座標])</f>
        <v>#N/A</v>
      </c>
      <c r="E82" s="19" t="e">
        <f t="shared" si="5"/>
        <v>#N/A</v>
      </c>
      <c r="F82" s="19" t="e">
        <f t="shared" si="6"/>
        <v>#N/A</v>
      </c>
      <c r="G82" s="19">
        <f>90-TB2Handbook[[#This Row],[天頂距(度)]]+TB2Handbook[[#This Row],[天頂距(分)]]/60+TB2Handbook[[#This Row],[天頂距(秒)]]/3600</f>
        <v>90</v>
      </c>
      <c r="H82" s="34" t="e">
        <f t="shared" si="7"/>
        <v>#N/A</v>
      </c>
    </row>
    <row r="83" spans="1:8" x14ac:dyDescent="0.3">
      <c r="A83" s="19">
        <f>'手簿 (Handbook)'!D83+'手簿 (Handbook)'!E83/60+'手簿 (Handbook)'!F83/3600</f>
        <v>0</v>
      </c>
      <c r="B83" s="19" t="e">
        <f t="shared" si="4"/>
        <v>#N/A</v>
      </c>
      <c r="C83" s="19" t="e">
        <f>_xlfn.XLOOKUP('手簿 (Handbook)'!B83,TB1Control[點號],TB1Control[E座標])-_xlfn.XLOOKUP('手簿 (Handbook)'!A83,TB1Control[點號],TB1Control[E座標])</f>
        <v>#N/A</v>
      </c>
      <c r="D83" s="19" t="e">
        <f>_xlfn.XLOOKUP('手簿 (Handbook)'!B83,TB1Control[點號],TB1Control[N座標])-_xlfn.XLOOKUP('手簿 (Handbook)'!A83,TB1Control[點號],TB1Control[N座標])</f>
        <v>#N/A</v>
      </c>
      <c r="E83" s="19" t="e">
        <f t="shared" si="5"/>
        <v>#N/A</v>
      </c>
      <c r="F83" s="19" t="e">
        <f t="shared" si="6"/>
        <v>#N/A</v>
      </c>
      <c r="G83" s="19">
        <f>90-TB2Handbook[[#This Row],[天頂距(度)]]+TB2Handbook[[#This Row],[天頂距(分)]]/60+TB2Handbook[[#This Row],[天頂距(秒)]]/3600</f>
        <v>90</v>
      </c>
      <c r="H83" s="34" t="e">
        <f t="shared" si="7"/>
        <v>#N/A</v>
      </c>
    </row>
    <row r="84" spans="1:8" x14ac:dyDescent="0.3">
      <c r="A84" s="19">
        <f>'手簿 (Handbook)'!D84+'手簿 (Handbook)'!E84/60+'手簿 (Handbook)'!F84/3600</f>
        <v>0</v>
      </c>
      <c r="B84" s="19" t="e">
        <f t="shared" si="4"/>
        <v>#N/A</v>
      </c>
      <c r="C84" s="19" t="e">
        <f>_xlfn.XLOOKUP('手簿 (Handbook)'!B84,TB1Control[點號],TB1Control[E座標])-_xlfn.XLOOKUP('手簿 (Handbook)'!A84,TB1Control[點號],TB1Control[E座標])</f>
        <v>#N/A</v>
      </c>
      <c r="D84" s="19" t="e">
        <f>_xlfn.XLOOKUP('手簿 (Handbook)'!B84,TB1Control[點號],TB1Control[N座標])-_xlfn.XLOOKUP('手簿 (Handbook)'!A84,TB1Control[點號],TB1Control[N座標])</f>
        <v>#N/A</v>
      </c>
      <c r="E84" s="19" t="e">
        <f t="shared" si="5"/>
        <v>#N/A</v>
      </c>
      <c r="F84" s="19" t="e">
        <f t="shared" si="6"/>
        <v>#N/A</v>
      </c>
      <c r="G84" s="19">
        <f>90-TB2Handbook[[#This Row],[天頂距(度)]]+TB2Handbook[[#This Row],[天頂距(分)]]/60+TB2Handbook[[#This Row],[天頂距(秒)]]/3600</f>
        <v>90</v>
      </c>
      <c r="H84" s="34" t="e">
        <f t="shared" si="7"/>
        <v>#N/A</v>
      </c>
    </row>
    <row r="85" spans="1:8" x14ac:dyDescent="0.3">
      <c r="A85" s="19">
        <f>'手簿 (Handbook)'!D85+'手簿 (Handbook)'!E85/60+'手簿 (Handbook)'!F85/3600</f>
        <v>0</v>
      </c>
      <c r="B85" s="19" t="e">
        <f t="shared" si="4"/>
        <v>#N/A</v>
      </c>
      <c r="C85" s="19" t="e">
        <f>_xlfn.XLOOKUP('手簿 (Handbook)'!B85,TB1Control[點號],TB1Control[E座標])-_xlfn.XLOOKUP('手簿 (Handbook)'!A85,TB1Control[點號],TB1Control[E座標])</f>
        <v>#N/A</v>
      </c>
      <c r="D85" s="19" t="e">
        <f>_xlfn.XLOOKUP('手簿 (Handbook)'!B85,TB1Control[點號],TB1Control[N座標])-_xlfn.XLOOKUP('手簿 (Handbook)'!A85,TB1Control[點號],TB1Control[N座標])</f>
        <v>#N/A</v>
      </c>
      <c r="E85" s="19" t="e">
        <f t="shared" si="5"/>
        <v>#N/A</v>
      </c>
      <c r="F85" s="19" t="e">
        <f t="shared" si="6"/>
        <v>#N/A</v>
      </c>
      <c r="G85" s="19">
        <f>90-TB2Handbook[[#This Row],[天頂距(度)]]+TB2Handbook[[#This Row],[天頂距(分)]]/60+TB2Handbook[[#This Row],[天頂距(秒)]]/3600</f>
        <v>90</v>
      </c>
      <c r="H85" s="34" t="e">
        <f t="shared" si="7"/>
        <v>#N/A</v>
      </c>
    </row>
    <row r="86" spans="1:8" x14ac:dyDescent="0.3">
      <c r="A86" s="19">
        <f>'手簿 (Handbook)'!D86+'手簿 (Handbook)'!E86/60+'手簿 (Handbook)'!F86/3600</f>
        <v>0</v>
      </c>
      <c r="B86" s="19" t="e">
        <f t="shared" si="4"/>
        <v>#N/A</v>
      </c>
      <c r="C86" s="19" t="e">
        <f>_xlfn.XLOOKUP('手簿 (Handbook)'!B86,TB1Control[點號],TB1Control[E座標])-_xlfn.XLOOKUP('手簿 (Handbook)'!A86,TB1Control[點號],TB1Control[E座標])</f>
        <v>#N/A</v>
      </c>
      <c r="D86" s="19" t="e">
        <f>_xlfn.XLOOKUP('手簿 (Handbook)'!B86,TB1Control[點號],TB1Control[N座標])-_xlfn.XLOOKUP('手簿 (Handbook)'!A86,TB1Control[點號],TB1Control[N座標])</f>
        <v>#N/A</v>
      </c>
      <c r="E86" s="19" t="e">
        <f t="shared" si="5"/>
        <v>#N/A</v>
      </c>
      <c r="F86" s="19" t="e">
        <f t="shared" si="6"/>
        <v>#N/A</v>
      </c>
      <c r="G86" s="19">
        <f>90-TB2Handbook[[#This Row],[天頂距(度)]]+TB2Handbook[[#This Row],[天頂距(分)]]/60+TB2Handbook[[#This Row],[天頂距(秒)]]/3600</f>
        <v>90</v>
      </c>
      <c r="H86" s="34" t="e">
        <f t="shared" si="7"/>
        <v>#N/A</v>
      </c>
    </row>
    <row r="87" spans="1:8" x14ac:dyDescent="0.3">
      <c r="A87" s="19">
        <f>'手簿 (Handbook)'!D87+'手簿 (Handbook)'!E87/60+'手簿 (Handbook)'!F87/3600</f>
        <v>0</v>
      </c>
      <c r="B87" s="19" t="e">
        <f t="shared" si="4"/>
        <v>#N/A</v>
      </c>
      <c r="C87" s="19" t="e">
        <f>_xlfn.XLOOKUP('手簿 (Handbook)'!B87,TB1Control[點號],TB1Control[E座標])-_xlfn.XLOOKUP('手簿 (Handbook)'!A87,TB1Control[點號],TB1Control[E座標])</f>
        <v>#N/A</v>
      </c>
      <c r="D87" s="19" t="e">
        <f>_xlfn.XLOOKUP('手簿 (Handbook)'!B87,TB1Control[點號],TB1Control[N座標])-_xlfn.XLOOKUP('手簿 (Handbook)'!A87,TB1Control[點號],TB1Control[N座標])</f>
        <v>#N/A</v>
      </c>
      <c r="E87" s="19" t="e">
        <f t="shared" si="5"/>
        <v>#N/A</v>
      </c>
      <c r="F87" s="19" t="e">
        <f t="shared" si="6"/>
        <v>#N/A</v>
      </c>
      <c r="G87" s="19">
        <f>90-TB2Handbook[[#This Row],[天頂距(度)]]+TB2Handbook[[#This Row],[天頂距(分)]]/60+TB2Handbook[[#This Row],[天頂距(秒)]]/3600</f>
        <v>90</v>
      </c>
      <c r="H87" s="34" t="e">
        <f t="shared" si="7"/>
        <v>#N/A</v>
      </c>
    </row>
    <row r="88" spans="1:8" x14ac:dyDescent="0.3">
      <c r="A88" s="19">
        <f>'手簿 (Handbook)'!D88+'手簿 (Handbook)'!E88/60+'手簿 (Handbook)'!F88/3600</f>
        <v>0</v>
      </c>
      <c r="B88" s="19" t="e">
        <f t="shared" si="4"/>
        <v>#N/A</v>
      </c>
      <c r="C88" s="19" t="e">
        <f>_xlfn.XLOOKUP('手簿 (Handbook)'!B88,TB1Control[點號],TB1Control[E座標])-_xlfn.XLOOKUP('手簿 (Handbook)'!A88,TB1Control[點號],TB1Control[E座標])</f>
        <v>#N/A</v>
      </c>
      <c r="D88" s="19" t="e">
        <f>_xlfn.XLOOKUP('手簿 (Handbook)'!B88,TB1Control[點號],TB1Control[N座標])-_xlfn.XLOOKUP('手簿 (Handbook)'!A88,TB1Control[點號],TB1Control[N座標])</f>
        <v>#N/A</v>
      </c>
      <c r="E88" s="19" t="e">
        <f t="shared" si="5"/>
        <v>#N/A</v>
      </c>
      <c r="F88" s="19" t="e">
        <f t="shared" si="6"/>
        <v>#N/A</v>
      </c>
      <c r="G88" s="19">
        <f>90-TB2Handbook[[#This Row],[天頂距(度)]]+TB2Handbook[[#This Row],[天頂距(分)]]/60+TB2Handbook[[#This Row],[天頂距(秒)]]/3600</f>
        <v>90</v>
      </c>
      <c r="H88" s="34" t="e">
        <f t="shared" si="7"/>
        <v>#N/A</v>
      </c>
    </row>
    <row r="89" spans="1:8" x14ac:dyDescent="0.3">
      <c r="A89" s="19">
        <f>'手簿 (Handbook)'!D89+'手簿 (Handbook)'!E89/60+'手簿 (Handbook)'!F89/3600</f>
        <v>0</v>
      </c>
      <c r="B89" s="19" t="e">
        <f t="shared" si="4"/>
        <v>#N/A</v>
      </c>
      <c r="C89" s="19" t="e">
        <f>_xlfn.XLOOKUP('手簿 (Handbook)'!B89,TB1Control[點號],TB1Control[E座標])-_xlfn.XLOOKUP('手簿 (Handbook)'!A89,TB1Control[點號],TB1Control[E座標])</f>
        <v>#N/A</v>
      </c>
      <c r="D89" s="19" t="e">
        <f>_xlfn.XLOOKUP('手簿 (Handbook)'!B89,TB1Control[點號],TB1Control[N座標])-_xlfn.XLOOKUP('手簿 (Handbook)'!A89,TB1Control[點號],TB1Control[N座標])</f>
        <v>#N/A</v>
      </c>
      <c r="E89" s="19" t="e">
        <f t="shared" si="5"/>
        <v>#N/A</v>
      </c>
      <c r="F89" s="19" t="e">
        <f t="shared" si="6"/>
        <v>#N/A</v>
      </c>
      <c r="G89" s="19">
        <f>90-TB2Handbook[[#This Row],[天頂距(度)]]+TB2Handbook[[#This Row],[天頂距(分)]]/60+TB2Handbook[[#This Row],[天頂距(秒)]]/3600</f>
        <v>90</v>
      </c>
      <c r="H89" s="34" t="e">
        <f t="shared" si="7"/>
        <v>#N/A</v>
      </c>
    </row>
    <row r="90" spans="1:8" x14ac:dyDescent="0.3">
      <c r="A90" s="19">
        <f>'手簿 (Handbook)'!D90+'手簿 (Handbook)'!E90/60+'手簿 (Handbook)'!F90/3600</f>
        <v>0</v>
      </c>
      <c r="B90" s="19" t="e">
        <f t="shared" si="4"/>
        <v>#N/A</v>
      </c>
      <c r="C90" s="19" t="e">
        <f>_xlfn.XLOOKUP('手簿 (Handbook)'!B90,TB1Control[點號],TB1Control[E座標])-_xlfn.XLOOKUP('手簿 (Handbook)'!A90,TB1Control[點號],TB1Control[E座標])</f>
        <v>#N/A</v>
      </c>
      <c r="D90" s="19" t="e">
        <f>_xlfn.XLOOKUP('手簿 (Handbook)'!B90,TB1Control[點號],TB1Control[N座標])-_xlfn.XLOOKUP('手簿 (Handbook)'!A90,TB1Control[點號],TB1Control[N座標])</f>
        <v>#N/A</v>
      </c>
      <c r="E90" s="19" t="e">
        <f t="shared" si="5"/>
        <v>#N/A</v>
      </c>
      <c r="F90" s="19" t="e">
        <f t="shared" si="6"/>
        <v>#N/A</v>
      </c>
      <c r="G90" s="19">
        <f>90-TB2Handbook[[#This Row],[天頂距(度)]]+TB2Handbook[[#This Row],[天頂距(分)]]/60+TB2Handbook[[#This Row],[天頂距(秒)]]/3600</f>
        <v>90</v>
      </c>
      <c r="H90" s="34" t="e">
        <f t="shared" si="7"/>
        <v>#N/A</v>
      </c>
    </row>
    <row r="91" spans="1:8" x14ac:dyDescent="0.3">
      <c r="A91" s="19">
        <f>'手簿 (Handbook)'!D91+'手簿 (Handbook)'!E91/60+'手簿 (Handbook)'!F91/3600</f>
        <v>0</v>
      </c>
      <c r="B91" s="19" t="e">
        <f t="shared" si="4"/>
        <v>#N/A</v>
      </c>
      <c r="C91" s="19" t="e">
        <f>_xlfn.XLOOKUP('手簿 (Handbook)'!B91,TB1Control[點號],TB1Control[E座標])-_xlfn.XLOOKUP('手簿 (Handbook)'!A91,TB1Control[點號],TB1Control[E座標])</f>
        <v>#N/A</v>
      </c>
      <c r="D91" s="19" t="e">
        <f>_xlfn.XLOOKUP('手簿 (Handbook)'!B91,TB1Control[點號],TB1Control[N座標])-_xlfn.XLOOKUP('手簿 (Handbook)'!A91,TB1Control[點號],TB1Control[N座標])</f>
        <v>#N/A</v>
      </c>
      <c r="E91" s="19" t="e">
        <f t="shared" si="5"/>
        <v>#N/A</v>
      </c>
      <c r="F91" s="19" t="e">
        <f t="shared" si="6"/>
        <v>#N/A</v>
      </c>
      <c r="G91" s="19">
        <f>90-TB2Handbook[[#This Row],[天頂距(度)]]+TB2Handbook[[#This Row],[天頂距(分)]]/60+TB2Handbook[[#This Row],[天頂距(秒)]]/3600</f>
        <v>90</v>
      </c>
      <c r="H91" s="34" t="e">
        <f t="shared" si="7"/>
        <v>#N/A</v>
      </c>
    </row>
    <row r="92" spans="1:8" x14ac:dyDescent="0.3">
      <c r="A92" s="19">
        <f>'手簿 (Handbook)'!D92+'手簿 (Handbook)'!E92/60+'手簿 (Handbook)'!F92/3600</f>
        <v>0</v>
      </c>
      <c r="B92" s="19" t="e">
        <f t="shared" si="4"/>
        <v>#N/A</v>
      </c>
      <c r="C92" s="19" t="e">
        <f>_xlfn.XLOOKUP('手簿 (Handbook)'!B92,TB1Control[點號],TB1Control[E座標])-_xlfn.XLOOKUP('手簿 (Handbook)'!A92,TB1Control[點號],TB1Control[E座標])</f>
        <v>#N/A</v>
      </c>
      <c r="D92" s="19" t="e">
        <f>_xlfn.XLOOKUP('手簿 (Handbook)'!B92,TB1Control[點號],TB1Control[N座標])-_xlfn.XLOOKUP('手簿 (Handbook)'!A92,TB1Control[點號],TB1Control[N座標])</f>
        <v>#N/A</v>
      </c>
      <c r="E92" s="19" t="e">
        <f t="shared" si="5"/>
        <v>#N/A</v>
      </c>
      <c r="F92" s="19" t="e">
        <f t="shared" si="6"/>
        <v>#N/A</v>
      </c>
      <c r="G92" s="19">
        <f>90-TB2Handbook[[#This Row],[天頂距(度)]]+TB2Handbook[[#This Row],[天頂距(分)]]/60+TB2Handbook[[#This Row],[天頂距(秒)]]/3600</f>
        <v>90</v>
      </c>
      <c r="H92" s="34" t="e">
        <f t="shared" si="7"/>
        <v>#N/A</v>
      </c>
    </row>
    <row r="93" spans="1:8" x14ac:dyDescent="0.3">
      <c r="A93" s="19">
        <f>'手簿 (Handbook)'!D93+'手簿 (Handbook)'!E93/60+'手簿 (Handbook)'!F93/3600</f>
        <v>0</v>
      </c>
      <c r="B93" s="19" t="e">
        <f t="shared" si="4"/>
        <v>#N/A</v>
      </c>
      <c r="C93" s="19" t="e">
        <f>_xlfn.XLOOKUP('手簿 (Handbook)'!B93,TB1Control[點號],TB1Control[E座標])-_xlfn.XLOOKUP('手簿 (Handbook)'!A93,TB1Control[點號],TB1Control[E座標])</f>
        <v>#N/A</v>
      </c>
      <c r="D93" s="19" t="e">
        <f>_xlfn.XLOOKUP('手簿 (Handbook)'!B93,TB1Control[點號],TB1Control[N座標])-_xlfn.XLOOKUP('手簿 (Handbook)'!A93,TB1Control[點號],TB1Control[N座標])</f>
        <v>#N/A</v>
      </c>
      <c r="E93" s="19" t="e">
        <f t="shared" si="5"/>
        <v>#N/A</v>
      </c>
      <c r="F93" s="19" t="e">
        <f t="shared" si="6"/>
        <v>#N/A</v>
      </c>
      <c r="G93" s="19">
        <f>90-TB2Handbook[[#This Row],[天頂距(度)]]+TB2Handbook[[#This Row],[天頂距(分)]]/60+TB2Handbook[[#This Row],[天頂距(秒)]]/3600</f>
        <v>90</v>
      </c>
      <c r="H93" s="34" t="e">
        <f t="shared" si="7"/>
        <v>#N/A</v>
      </c>
    </row>
    <row r="94" spans="1:8" x14ac:dyDescent="0.3">
      <c r="A94" s="19">
        <f>'手簿 (Handbook)'!D94+'手簿 (Handbook)'!E94/60+'手簿 (Handbook)'!F94/3600</f>
        <v>0</v>
      </c>
      <c r="B94" s="19" t="e">
        <f t="shared" si="4"/>
        <v>#N/A</v>
      </c>
      <c r="C94" s="19" t="e">
        <f>_xlfn.XLOOKUP('手簿 (Handbook)'!B94,TB1Control[點號],TB1Control[E座標])-_xlfn.XLOOKUP('手簿 (Handbook)'!A94,TB1Control[點號],TB1Control[E座標])</f>
        <v>#N/A</v>
      </c>
      <c r="D94" s="19" t="e">
        <f>_xlfn.XLOOKUP('手簿 (Handbook)'!B94,TB1Control[點號],TB1Control[N座標])-_xlfn.XLOOKUP('手簿 (Handbook)'!A94,TB1Control[點號],TB1Control[N座標])</f>
        <v>#N/A</v>
      </c>
      <c r="E94" s="19" t="e">
        <f t="shared" si="5"/>
        <v>#N/A</v>
      </c>
      <c r="F94" s="19" t="e">
        <f t="shared" si="6"/>
        <v>#N/A</v>
      </c>
      <c r="G94" s="19">
        <f>90-TB2Handbook[[#This Row],[天頂距(度)]]+TB2Handbook[[#This Row],[天頂距(分)]]/60+TB2Handbook[[#This Row],[天頂距(秒)]]/3600</f>
        <v>90</v>
      </c>
      <c r="H94" s="34" t="e">
        <f t="shared" si="7"/>
        <v>#N/A</v>
      </c>
    </row>
    <row r="95" spans="1:8" x14ac:dyDescent="0.3">
      <c r="A95" s="19">
        <f>'手簿 (Handbook)'!D95+'手簿 (Handbook)'!E95/60+'手簿 (Handbook)'!F95/3600</f>
        <v>0</v>
      </c>
      <c r="B95" s="19" t="e">
        <f t="shared" si="4"/>
        <v>#N/A</v>
      </c>
      <c r="C95" s="19" t="e">
        <f>_xlfn.XLOOKUP('手簿 (Handbook)'!B95,TB1Control[點號],TB1Control[E座標])-_xlfn.XLOOKUP('手簿 (Handbook)'!A95,TB1Control[點號],TB1Control[E座標])</f>
        <v>#N/A</v>
      </c>
      <c r="D95" s="19" t="e">
        <f>_xlfn.XLOOKUP('手簿 (Handbook)'!B95,TB1Control[點號],TB1Control[N座標])-_xlfn.XLOOKUP('手簿 (Handbook)'!A95,TB1Control[點號],TB1Control[N座標])</f>
        <v>#N/A</v>
      </c>
      <c r="E95" s="19" t="e">
        <f t="shared" si="5"/>
        <v>#N/A</v>
      </c>
      <c r="F95" s="19" t="e">
        <f t="shared" si="6"/>
        <v>#N/A</v>
      </c>
      <c r="G95" s="19">
        <f>90-TB2Handbook[[#This Row],[天頂距(度)]]+TB2Handbook[[#This Row],[天頂距(分)]]/60+TB2Handbook[[#This Row],[天頂距(秒)]]/3600</f>
        <v>90</v>
      </c>
      <c r="H95" s="34" t="e">
        <f t="shared" si="7"/>
        <v>#N/A</v>
      </c>
    </row>
    <row r="96" spans="1:8" x14ac:dyDescent="0.3">
      <c r="A96" s="19">
        <f>'手簿 (Handbook)'!D96+'手簿 (Handbook)'!E96/60+'手簿 (Handbook)'!F96/3600</f>
        <v>0</v>
      </c>
      <c r="B96" s="19" t="e">
        <f t="shared" si="4"/>
        <v>#N/A</v>
      </c>
      <c r="C96" s="19" t="e">
        <f>_xlfn.XLOOKUP('手簿 (Handbook)'!B96,TB1Control[點號],TB1Control[E座標])-_xlfn.XLOOKUP('手簿 (Handbook)'!A96,TB1Control[點號],TB1Control[E座標])</f>
        <v>#N/A</v>
      </c>
      <c r="D96" s="19" t="e">
        <f>_xlfn.XLOOKUP('手簿 (Handbook)'!B96,TB1Control[點號],TB1Control[N座標])-_xlfn.XLOOKUP('手簿 (Handbook)'!A96,TB1Control[點號],TB1Control[N座標])</f>
        <v>#N/A</v>
      </c>
      <c r="E96" s="19" t="e">
        <f t="shared" si="5"/>
        <v>#N/A</v>
      </c>
      <c r="F96" s="19" t="e">
        <f t="shared" si="6"/>
        <v>#N/A</v>
      </c>
      <c r="G96" s="19">
        <f>90-TB2Handbook[[#This Row],[天頂距(度)]]+TB2Handbook[[#This Row],[天頂距(分)]]/60+TB2Handbook[[#This Row],[天頂距(秒)]]/3600</f>
        <v>90</v>
      </c>
      <c r="H96" s="34" t="e">
        <f t="shared" si="7"/>
        <v>#N/A</v>
      </c>
    </row>
    <row r="97" spans="1:8" x14ac:dyDescent="0.3">
      <c r="A97" s="19">
        <f>'手簿 (Handbook)'!D97+'手簿 (Handbook)'!E97/60+'手簿 (Handbook)'!F97/3600</f>
        <v>0</v>
      </c>
      <c r="B97" s="19" t="e">
        <f t="shared" si="4"/>
        <v>#N/A</v>
      </c>
      <c r="C97" s="19" t="e">
        <f>_xlfn.XLOOKUP('手簿 (Handbook)'!B97,TB1Control[點號],TB1Control[E座標])-_xlfn.XLOOKUP('手簿 (Handbook)'!A97,TB1Control[點號],TB1Control[E座標])</f>
        <v>#N/A</v>
      </c>
      <c r="D97" s="19" t="e">
        <f>_xlfn.XLOOKUP('手簿 (Handbook)'!B97,TB1Control[點號],TB1Control[N座標])-_xlfn.XLOOKUP('手簿 (Handbook)'!A97,TB1Control[點號],TB1Control[N座標])</f>
        <v>#N/A</v>
      </c>
      <c r="E97" s="19" t="e">
        <f t="shared" si="5"/>
        <v>#N/A</v>
      </c>
      <c r="F97" s="19" t="e">
        <f t="shared" si="6"/>
        <v>#N/A</v>
      </c>
      <c r="G97" s="19">
        <f>90-TB2Handbook[[#This Row],[天頂距(度)]]+TB2Handbook[[#This Row],[天頂距(分)]]/60+TB2Handbook[[#This Row],[天頂距(秒)]]/3600</f>
        <v>90</v>
      </c>
      <c r="H97" s="34" t="e">
        <f t="shared" si="7"/>
        <v>#N/A</v>
      </c>
    </row>
    <row r="98" spans="1:8" x14ac:dyDescent="0.3">
      <c r="A98" s="19">
        <f>'手簿 (Handbook)'!D98+'手簿 (Handbook)'!E98/60+'手簿 (Handbook)'!F98/3600</f>
        <v>0</v>
      </c>
      <c r="B98" s="19" t="e">
        <f t="shared" si="4"/>
        <v>#N/A</v>
      </c>
      <c r="C98" s="19" t="e">
        <f>_xlfn.XLOOKUP('手簿 (Handbook)'!B98,TB1Control[點號],TB1Control[E座標])-_xlfn.XLOOKUP('手簿 (Handbook)'!A98,TB1Control[點號],TB1Control[E座標])</f>
        <v>#N/A</v>
      </c>
      <c r="D98" s="19" t="e">
        <f>_xlfn.XLOOKUP('手簿 (Handbook)'!B98,TB1Control[點號],TB1Control[N座標])-_xlfn.XLOOKUP('手簿 (Handbook)'!A98,TB1Control[點號],TB1Control[N座標])</f>
        <v>#N/A</v>
      </c>
      <c r="E98" s="19" t="e">
        <f t="shared" si="5"/>
        <v>#N/A</v>
      </c>
      <c r="F98" s="19" t="e">
        <f t="shared" si="6"/>
        <v>#N/A</v>
      </c>
      <c r="G98" s="19">
        <f>90-TB2Handbook[[#This Row],[天頂距(度)]]+TB2Handbook[[#This Row],[天頂距(分)]]/60+TB2Handbook[[#This Row],[天頂距(秒)]]/3600</f>
        <v>90</v>
      </c>
      <c r="H98" s="34" t="e">
        <f t="shared" si="7"/>
        <v>#N/A</v>
      </c>
    </row>
    <row r="99" spans="1:8" x14ac:dyDescent="0.3">
      <c r="A99" s="19">
        <f>'手簿 (Handbook)'!D99+'手簿 (Handbook)'!E99/60+'手簿 (Handbook)'!F99/3600</f>
        <v>0</v>
      </c>
      <c r="B99" s="19" t="e">
        <f t="shared" si="4"/>
        <v>#N/A</v>
      </c>
      <c r="C99" s="19" t="e">
        <f>_xlfn.XLOOKUP('手簿 (Handbook)'!B99,TB1Control[點號],TB1Control[E座標])-_xlfn.XLOOKUP('手簿 (Handbook)'!A99,TB1Control[點號],TB1Control[E座標])</f>
        <v>#N/A</v>
      </c>
      <c r="D99" s="19" t="e">
        <f>_xlfn.XLOOKUP('手簿 (Handbook)'!B99,TB1Control[點號],TB1Control[N座標])-_xlfn.XLOOKUP('手簿 (Handbook)'!A99,TB1Control[點號],TB1Control[N座標])</f>
        <v>#N/A</v>
      </c>
      <c r="E99" s="19" t="e">
        <f t="shared" si="5"/>
        <v>#N/A</v>
      </c>
      <c r="F99" s="19" t="e">
        <f t="shared" si="6"/>
        <v>#N/A</v>
      </c>
      <c r="G99" s="19">
        <f>90-TB2Handbook[[#This Row],[天頂距(度)]]+TB2Handbook[[#This Row],[天頂距(分)]]/60+TB2Handbook[[#This Row],[天頂距(秒)]]/3600</f>
        <v>90</v>
      </c>
      <c r="H99" s="34" t="e">
        <f t="shared" si="7"/>
        <v>#N/A</v>
      </c>
    </row>
    <row r="100" spans="1:8" x14ac:dyDescent="0.3">
      <c r="A100" s="19">
        <f>'手簿 (Handbook)'!D100+'手簿 (Handbook)'!E100/60+'手簿 (Handbook)'!F100/3600</f>
        <v>0</v>
      </c>
      <c r="B100" s="19" t="e">
        <f t="shared" si="4"/>
        <v>#N/A</v>
      </c>
      <c r="C100" s="19" t="e">
        <f>_xlfn.XLOOKUP('手簿 (Handbook)'!B100,TB1Control[點號],TB1Control[E座標])-_xlfn.XLOOKUP('手簿 (Handbook)'!A100,TB1Control[點號],TB1Control[E座標])</f>
        <v>#N/A</v>
      </c>
      <c r="D100" s="19" t="e">
        <f>_xlfn.XLOOKUP('手簿 (Handbook)'!B100,TB1Control[點號],TB1Control[N座標])-_xlfn.XLOOKUP('手簿 (Handbook)'!A100,TB1Control[點號],TB1Control[N座標])</f>
        <v>#N/A</v>
      </c>
      <c r="E100" s="19" t="e">
        <f t="shared" si="5"/>
        <v>#N/A</v>
      </c>
      <c r="F100" s="19" t="e">
        <f t="shared" si="6"/>
        <v>#N/A</v>
      </c>
      <c r="G100" s="19" t="e">
        <f>90-TB2Handbook[[#This Row],[天頂距(度)]]+TB2Handbook[[#This Row],[天頂距(分)]]/60+TB2Handbook[[#This Row],[天頂距(秒)]]/3600</f>
        <v>#VALUE!</v>
      </c>
      <c r="H100" s="34" t="e">
        <f t="shared" si="7"/>
        <v>#N/A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1CC2C-98D2-4331-8731-C47B44679DB8}">
  <dimension ref="A1:D100"/>
  <sheetViews>
    <sheetView zoomScale="99" workbookViewId="0">
      <selection activeCell="G17" sqref="G17"/>
    </sheetView>
  </sheetViews>
  <sheetFormatPr defaultRowHeight="16.2" x14ac:dyDescent="0.3"/>
  <cols>
    <col min="1" max="1" width="8.88671875" style="12"/>
    <col min="2" max="4" width="20.77734375" style="12" customWidth="1"/>
  </cols>
  <sheetData>
    <row r="1" spans="1:4" x14ac:dyDescent="0.3">
      <c r="A1" s="3" t="s">
        <v>0</v>
      </c>
      <c r="B1" s="4" t="s">
        <v>1</v>
      </c>
      <c r="C1" s="4" t="s">
        <v>2</v>
      </c>
      <c r="D1" s="4" t="s">
        <v>3</v>
      </c>
    </row>
    <row r="2" spans="1:4" x14ac:dyDescent="0.3">
      <c r="A2" s="33" t="str">
        <f>'手簿 (Handbook)'!C2</f>
        <v>B-1</v>
      </c>
      <c r="B2" s="12">
        <f>_xlfn.XLOOKUP('手簿 (Handbook)'!A2,TB1Control[點號],TB1Control[N座標])+'手簿 (Handbook)'!G2*COS(RADIANS(運算表!B2))</f>
        <v>2768148.8100966536</v>
      </c>
      <c r="C2" s="12">
        <f>_xlfn.XLOOKUP('手簿 (Handbook)'!A2,TB1Control[點號],TB1Control[E座標])+'手簿 (Handbook)'!G2*SIN(RADIANS(運算表!B2))</f>
        <v>304648.63763715758</v>
      </c>
      <c r="D2" s="12">
        <f>_xlfn.XLOOKUP('手簿 (Handbook)'!A2,TB1Control[點號],TB1Control[H座標])+'手簿 (Handbook)'!G2*TAN(RADIANS(運算表!G2))-'手簿 (Handbook)'!L2</f>
        <v>7.5890374836970249</v>
      </c>
    </row>
    <row r="3" spans="1:4" x14ac:dyDescent="0.3">
      <c r="A3" s="33" t="str">
        <f>'手簿 (Handbook)'!C3</f>
        <v>B-5</v>
      </c>
      <c r="B3" s="12">
        <f>_xlfn.XLOOKUP('手簿 (Handbook)'!A3,TB1Control[點號],TB1Control[N座標])+'手簿 (Handbook)'!G3*COS(RADIANS(運算表!B3))</f>
        <v>2768127.725931678</v>
      </c>
      <c r="C3" s="12">
        <f>_xlfn.XLOOKUP('手簿 (Handbook)'!A3,TB1Control[點號],TB1Control[E座標])+'手簿 (Handbook)'!G3*SIN(RADIANS(運算表!B3))</f>
        <v>304639.90174104337</v>
      </c>
      <c r="D3" s="12">
        <f>_xlfn.XLOOKUP('手簿 (Handbook)'!A3,TB1Control[點號],TB1Control[H座標])+'手簿 (Handbook)'!G3*TAN(RADIANS(運算表!G3))-'手簿 (Handbook)'!L3</f>
        <v>7.7499739415535176</v>
      </c>
    </row>
    <row r="4" spans="1:4" x14ac:dyDescent="0.3">
      <c r="A4" s="33" t="str">
        <f>'手簿 (Handbook)'!C4</f>
        <v>B-6</v>
      </c>
      <c r="B4" s="12">
        <f>_xlfn.XLOOKUP('手簿 (Handbook)'!A4,TB1Control[點號],TB1Control[N座標])+'手簿 (Handbook)'!G4*COS(RADIANS(運算表!B4))</f>
        <v>2768119.1032639579</v>
      </c>
      <c r="C4" s="12">
        <f>_xlfn.XLOOKUP('手簿 (Handbook)'!A4,TB1Control[點號],TB1Control[E座標])+'手簿 (Handbook)'!G4*SIN(RADIANS(運算表!B4))</f>
        <v>304639.96464494459</v>
      </c>
      <c r="D4" s="12">
        <f>_xlfn.XLOOKUP('手簿 (Handbook)'!A4,TB1Control[點號],TB1Control[H座標])+'手簿 (Handbook)'!G4*TAN(RADIANS(運算表!G4))-'手簿 (Handbook)'!L4</f>
        <v>7.7876243338501761</v>
      </c>
    </row>
    <row r="5" spans="1:4" x14ac:dyDescent="0.3">
      <c r="A5" s="33" t="str">
        <f>'手簿 (Handbook)'!C5</f>
        <v>B-7</v>
      </c>
      <c r="B5" s="12">
        <f>_xlfn.XLOOKUP('手簿 (Handbook)'!A5,TB1Control[點號],TB1Control[N座標])+'手簿 (Handbook)'!G5*COS(RADIANS(運算表!B5))</f>
        <v>2768127.7622382343</v>
      </c>
      <c r="C5" s="12">
        <f>_xlfn.XLOOKUP('手簿 (Handbook)'!A5,TB1Control[點號],TB1Control[E座標])+'手簿 (Handbook)'!G5*SIN(RADIANS(運算表!B5))</f>
        <v>304643.40062934079</v>
      </c>
      <c r="D5" s="12">
        <f>_xlfn.XLOOKUP('手簿 (Handbook)'!A5,TB1Control[點號],TB1Control[H座標])+'手簿 (Handbook)'!G5*TAN(RADIANS(運算表!G5))-'手簿 (Handbook)'!L5</f>
        <v>7.9503918215059208</v>
      </c>
    </row>
    <row r="6" spans="1:4" x14ac:dyDescent="0.3">
      <c r="A6" s="33" t="str">
        <f>'手簿 (Handbook)'!C6</f>
        <v>B-7-T</v>
      </c>
      <c r="B6" s="12">
        <f>_xlfn.XLOOKUP('手簿 (Handbook)'!A6,TB1Control[點號],TB1Control[N座標])+'手簿 (Handbook)'!G6*COS(RADIANS(運算表!B6))</f>
        <v>2768127.7622382343</v>
      </c>
      <c r="C6" s="12">
        <f>_xlfn.XLOOKUP('手簿 (Handbook)'!A6,TB1Control[點號],TB1Control[E座標])+'手簿 (Handbook)'!G6*SIN(RADIANS(運算表!B6))</f>
        <v>304643.40062934079</v>
      </c>
      <c r="D6" s="12">
        <f>_xlfn.XLOOKUP('手簿 (Handbook)'!A6,TB1Control[點號],TB1Control[H座標])+'手簿 (Handbook)'!G6*TAN(RADIANS(運算表!G6))-'手簿 (Handbook)'!L6</f>
        <v>13.337502651511688</v>
      </c>
    </row>
    <row r="7" spans="1:4" x14ac:dyDescent="0.3">
      <c r="A7" s="33" t="str">
        <f>'手簿 (Handbook)'!C7</f>
        <v>B-1-T</v>
      </c>
      <c r="B7" s="12">
        <f>_xlfn.XLOOKUP('手簿 (Handbook)'!A7,TB1Control[點號],TB1Control[N座標])+'手簿 (Handbook)'!G7*COS(RADIANS(運算表!B7))</f>
        <v>2768148.8100966536</v>
      </c>
      <c r="C7" s="12">
        <f>_xlfn.XLOOKUP('手簿 (Handbook)'!A7,TB1Control[點號],TB1Control[E座標])+'手簿 (Handbook)'!G7*SIN(RADIANS(運算表!B7))</f>
        <v>304648.63763715758</v>
      </c>
      <c r="D7" s="12">
        <f>_xlfn.XLOOKUP('手簿 (Handbook)'!A7,TB1Control[點號],TB1Control[H座標])+'手簿 (Handbook)'!G7*TAN(RADIANS(運算表!G7))-'手簿 (Handbook)'!L7</f>
        <v>25.529019309189046</v>
      </c>
    </row>
    <row r="8" spans="1:4" x14ac:dyDescent="0.3">
      <c r="A8" s="33" t="str">
        <f>'手簿 (Handbook)'!C8</f>
        <v>B-11</v>
      </c>
      <c r="B8" s="12">
        <f>_xlfn.XLOOKUP('手簿 (Handbook)'!A8,TB1Control[點號],TB1Control[N座標])+'手簿 (Handbook)'!G8*COS(RADIANS(運算表!B8))</f>
        <v>2768119.0779986461</v>
      </c>
      <c r="C8" s="12">
        <f>_xlfn.XLOOKUP('手簿 (Handbook)'!A8,TB1Control[點號],TB1Control[E座標])+'手簿 (Handbook)'!G8*SIN(RADIANS(運算表!B8))</f>
        <v>304643.26681740204</v>
      </c>
      <c r="D8" s="12">
        <f>_xlfn.XLOOKUP('手簿 (Handbook)'!A8,TB1Control[點號],TB1Control[H座標])+'手簿 (Handbook)'!G8*TAN(RADIANS(運算表!G8))-'手簿 (Handbook)'!L8</f>
        <v>7.7604319609531176</v>
      </c>
    </row>
    <row r="9" spans="1:4" x14ac:dyDescent="0.3">
      <c r="A9" s="33" t="str">
        <f>'手簿 (Handbook)'!C9</f>
        <v>B-11-T</v>
      </c>
      <c r="B9" s="12">
        <f>_xlfn.XLOOKUP('手簿 (Handbook)'!A9,TB1Control[點號],TB1Control[N座標])+'手簿 (Handbook)'!G9*COS(RADIANS(運算表!B9))</f>
        <v>2768119.0779986461</v>
      </c>
      <c r="C9" s="12">
        <f>_xlfn.XLOOKUP('手簿 (Handbook)'!A9,TB1Control[點號],TB1Control[E座標])+'手簿 (Handbook)'!G9*SIN(RADIANS(運算表!B9))</f>
        <v>304643.26681740204</v>
      </c>
      <c r="D9" s="12">
        <f>_xlfn.XLOOKUP('手簿 (Handbook)'!A9,TB1Control[點號],TB1Control[H座標])+'手簿 (Handbook)'!G9*TAN(RADIANS(運算表!G9))-'手簿 (Handbook)'!L9</f>
        <v>13.560678952333584</v>
      </c>
    </row>
    <row r="10" spans="1:4" x14ac:dyDescent="0.3">
      <c r="A10" s="33" t="str">
        <f>'手簿 (Handbook)'!C10</f>
        <v>B-15</v>
      </c>
      <c r="B10" s="12">
        <f>_xlfn.XLOOKUP('手簿 (Handbook)'!A10,TB1Control[點號],TB1Control[N座標])+'手簿 (Handbook)'!G10*COS(RADIANS(運算表!B10))</f>
        <v>2768125.8241560496</v>
      </c>
      <c r="C10" s="12">
        <f>_xlfn.XLOOKUP('手簿 (Handbook)'!A10,TB1Control[點號],TB1Control[E座標])+'手簿 (Handbook)'!G10*SIN(RADIANS(運算表!B10))</f>
        <v>304643.37258699327</v>
      </c>
      <c r="D10" s="12">
        <f>_xlfn.XLOOKUP('手簿 (Handbook)'!A10,TB1Control[點號],TB1Control[H座標])+'手簿 (Handbook)'!G10*TAN(RADIANS(運算表!G10))-'手簿 (Handbook)'!L10</f>
        <v>7.767147627183367</v>
      </c>
    </row>
    <row r="11" spans="1:4" x14ac:dyDescent="0.3">
      <c r="A11" s="33" t="str">
        <f>'手簿 (Handbook)'!C11</f>
        <v>B-15-T</v>
      </c>
      <c r="B11" s="12">
        <f>_xlfn.XLOOKUP('手簿 (Handbook)'!A11,TB1Control[點號],TB1Control[N座標])+'手簿 (Handbook)'!G11*COS(RADIANS(運算表!B11))</f>
        <v>2768125.8241560496</v>
      </c>
      <c r="C11" s="12">
        <f>_xlfn.XLOOKUP('手簿 (Handbook)'!A11,TB1Control[點號],TB1Control[E座標])+'手簿 (Handbook)'!G11*SIN(RADIANS(運算表!B11))</f>
        <v>304643.37258699327</v>
      </c>
      <c r="D11" s="12">
        <f>_xlfn.XLOOKUP('手簿 (Handbook)'!A11,TB1Control[點號],TB1Control[H座標])+'手簿 (Handbook)'!G11*TAN(RADIANS(運算表!G11))-'手簿 (Handbook)'!L11</f>
        <v>10.751196841732733</v>
      </c>
    </row>
    <row r="12" spans="1:4" x14ac:dyDescent="0.3">
      <c r="A12" s="33" t="str">
        <f>'手簿 (Handbook)'!C12</f>
        <v>B-51</v>
      </c>
      <c r="B12" s="12">
        <f>_xlfn.XLOOKUP('手簿 (Handbook)'!A12,TB1Control[點號],TB1Control[N座標])+'手簿 (Handbook)'!G12*COS(RADIANS(運算表!B12))</f>
        <v>2768120.9798860876</v>
      </c>
      <c r="C12" s="12">
        <f>_xlfn.XLOOKUP('手簿 (Handbook)'!A12,TB1Control[點號],TB1Control[E座標])+'手簿 (Handbook)'!G12*SIN(RADIANS(運算表!B12))</f>
        <v>304643.30198181391</v>
      </c>
      <c r="D12" s="12">
        <f>_xlfn.XLOOKUP('手簿 (Handbook)'!A12,TB1Control[點號],TB1Control[H座標])+'手簿 (Handbook)'!G12*TAN(RADIANS(運算表!G12))-'手簿 (Handbook)'!L12</f>
        <v>7.7448375316070868</v>
      </c>
    </row>
    <row r="13" spans="1:4" x14ac:dyDescent="0.3">
      <c r="A13" s="33" t="str">
        <f>'手簿 (Handbook)'!C13</f>
        <v>B-51-T</v>
      </c>
      <c r="B13" s="12">
        <f>_xlfn.XLOOKUP('手簿 (Handbook)'!A13,TB1Control[點號],TB1Control[N座標])+'手簿 (Handbook)'!G13*COS(RADIANS(運算表!B13))</f>
        <v>2768120.9798860876</v>
      </c>
      <c r="C13" s="12">
        <f>_xlfn.XLOOKUP('手簿 (Handbook)'!A13,TB1Control[點號],TB1Control[E座標])+'手簿 (Handbook)'!G13*SIN(RADIANS(運算表!B13))</f>
        <v>304643.30198181391</v>
      </c>
      <c r="D13" s="12">
        <f>_xlfn.XLOOKUP('手簿 (Handbook)'!A13,TB1Control[點號],TB1Control[H座標])+'手簿 (Handbook)'!G13*TAN(RADIANS(運算表!G13))-'手簿 (Handbook)'!L13</f>
        <v>10.655081903271</v>
      </c>
    </row>
    <row r="14" spans="1:4" x14ac:dyDescent="0.3">
      <c r="A14" s="33" t="str">
        <f>'手簿 (Handbook)'!C14</f>
        <v>B-16</v>
      </c>
      <c r="B14" s="12">
        <f>_xlfn.XLOOKUP('手簿 (Handbook)'!A14,TB1Control[點號],TB1Control[N座標])+'手簿 (Handbook)'!G14*COS(RADIANS(運算表!B14))</f>
        <v>2768097.8627806436</v>
      </c>
      <c r="C14" s="12">
        <f>_xlfn.XLOOKUP('手簿 (Handbook)'!A14,TB1Control[點號],TB1Control[E座標])+'手簿 (Handbook)'!G14*SIN(RADIANS(運算表!B14))</f>
        <v>304648.00432497606</v>
      </c>
      <c r="D14" s="12">
        <f>_xlfn.XLOOKUP('手簿 (Handbook)'!A14,TB1Control[點號],TB1Control[H座標])+'手簿 (Handbook)'!G14*TAN(RADIANS(運算表!G14))-'手簿 (Handbook)'!L14</f>
        <v>7.7299480052189224</v>
      </c>
    </row>
    <row r="15" spans="1:4" x14ac:dyDescent="0.3">
      <c r="A15" s="33" t="str">
        <f>'手簿 (Handbook)'!C15</f>
        <v>B-16-T</v>
      </c>
      <c r="B15" s="12">
        <f>_xlfn.XLOOKUP('手簿 (Handbook)'!A15,TB1Control[點號],TB1Control[N座標])+'手簿 (Handbook)'!G15*COS(RADIANS(運算表!B15))</f>
        <v>2768097.8627806436</v>
      </c>
      <c r="C15" s="12">
        <f>_xlfn.XLOOKUP('手簿 (Handbook)'!A15,TB1Control[點號],TB1Control[E座標])+'手簿 (Handbook)'!G15*SIN(RADIANS(運算表!B15))</f>
        <v>304648.00432497606</v>
      </c>
      <c r="D15" s="12">
        <f>_xlfn.XLOOKUP('手簿 (Handbook)'!A15,TB1Control[點號],TB1Control[H座標])+'手簿 (Handbook)'!G15*TAN(RADIANS(運算表!G15))-'手簿 (Handbook)'!L15</f>
        <v>24.39603106403468</v>
      </c>
    </row>
    <row r="16" spans="1:4" x14ac:dyDescent="0.3">
      <c r="A16" s="33" t="str">
        <f>'手簿 (Handbook)'!C16</f>
        <v>B-17</v>
      </c>
      <c r="B16" s="12">
        <f>_xlfn.XLOOKUP('手簿 (Handbook)'!A16,TB1Control[點號],TB1Control[N座標])+'手簿 (Handbook)'!G16*COS(RADIANS(運算表!B16))</f>
        <v>2768097.4354597982</v>
      </c>
      <c r="C16" s="12">
        <f>_xlfn.XLOOKUP('手簿 (Handbook)'!A16,TB1Control[點號],TB1Control[E座標])+'手簿 (Handbook)'!G16*SIN(RADIANS(運算表!B16))</f>
        <v>304680.64241649274</v>
      </c>
      <c r="D16" s="12">
        <f>_xlfn.XLOOKUP('手簿 (Handbook)'!A16,TB1Control[點號],TB1Control[H座標])+'手簿 (Handbook)'!G16*TAN(RADIANS(運算表!G16))-'手簿 (Handbook)'!L16</f>
        <v>8.0904386449215657</v>
      </c>
    </row>
    <row r="17" spans="1:4" x14ac:dyDescent="0.3">
      <c r="A17" s="33" t="str">
        <f>'手簿 (Handbook)'!C17</f>
        <v>B-18</v>
      </c>
      <c r="B17" s="12">
        <f>_xlfn.XLOOKUP('手簿 (Handbook)'!A17,TB1Control[點號],TB1Control[N座標])+'手簿 (Handbook)'!G17*COS(RADIANS(運算表!B17))</f>
        <v>2768100.797830943</v>
      </c>
      <c r="C17" s="12">
        <f>_xlfn.XLOOKUP('手簿 (Handbook)'!A17,TB1Control[點號],TB1Control[E座標])+'手簿 (Handbook)'!G17*SIN(RADIANS(運算表!B17))</f>
        <v>304680.7251222285</v>
      </c>
      <c r="D17" s="12">
        <f>_xlfn.XLOOKUP('手簿 (Handbook)'!A17,TB1Control[點號],TB1Control[H座標])+'手簿 (Handbook)'!G17*TAN(RADIANS(運算表!G17))-'手簿 (Handbook)'!L17</f>
        <v>7.6612357627511267</v>
      </c>
    </row>
    <row r="18" spans="1:4" x14ac:dyDescent="0.3">
      <c r="A18" s="33" t="str">
        <f>'手簿 (Handbook)'!C18</f>
        <v>B-20</v>
      </c>
      <c r="B18" s="12">
        <f>_xlfn.XLOOKUP('手簿 (Handbook)'!A18,TB1Control[點號],TB1Control[N座標])+'手簿 (Handbook)'!G18*COS(RADIANS(運算表!B18))</f>
        <v>2768100.7409094293</v>
      </c>
      <c r="C18" s="12">
        <f>_xlfn.XLOOKUP('手簿 (Handbook)'!A18,TB1Control[點號],TB1Control[E座標])+'手簿 (Handbook)'!G18*SIN(RADIANS(運算表!B18))</f>
        <v>304686.77522021142</v>
      </c>
      <c r="D18" s="12">
        <f>_xlfn.XLOOKUP('手簿 (Handbook)'!A18,TB1Control[點號],TB1Control[H座標])+'手簿 (Handbook)'!G18*TAN(RADIANS(運算表!G18))-'手簿 (Handbook)'!L18</f>
        <v>7.6522076837730486</v>
      </c>
    </row>
    <row r="19" spans="1:4" x14ac:dyDescent="0.3">
      <c r="A19" s="33">
        <f>'手簿 (Handbook)'!C19</f>
        <v>0</v>
      </c>
      <c r="B19" s="12" t="e">
        <f>_xlfn.XLOOKUP('手簿 (Handbook)'!A19,TB1Control[點號],TB1Control[N座標])+'手簿 (Handbook)'!G19*COS(RADIANS(運算表!B19))</f>
        <v>#N/A</v>
      </c>
      <c r="C19" s="12" t="e">
        <f>_xlfn.XLOOKUP('手簿 (Handbook)'!A19,TB1Control[點號],TB1Control[E座標])+'手簿 (Handbook)'!G19*SIN(RADIANS(運算表!B19))</f>
        <v>#N/A</v>
      </c>
      <c r="D19" s="12" t="e">
        <f>_xlfn.XLOOKUP('手簿 (Handbook)'!A19,TB1Control[點號],TB1Control[H座標])+'手簿 (Handbook)'!G19*TAN(RADIANS(運算表!G19))-'手簿 (Handbook)'!L19</f>
        <v>#N/A</v>
      </c>
    </row>
    <row r="20" spans="1:4" x14ac:dyDescent="0.3">
      <c r="A20" s="33">
        <f>'手簿 (Handbook)'!C20</f>
        <v>0</v>
      </c>
      <c r="B20" s="12" t="e">
        <f>_xlfn.XLOOKUP('手簿 (Handbook)'!A20,TB1Control[點號],TB1Control[N座標])+'手簿 (Handbook)'!G20*COS(RADIANS(運算表!B20))</f>
        <v>#N/A</v>
      </c>
      <c r="C20" s="12" t="e">
        <f>_xlfn.XLOOKUP('手簿 (Handbook)'!A20,TB1Control[點號],TB1Control[E座標])+'手簿 (Handbook)'!G20*SIN(RADIANS(運算表!B20))</f>
        <v>#N/A</v>
      </c>
      <c r="D20" s="12" t="e">
        <f>_xlfn.XLOOKUP('手簿 (Handbook)'!A20,TB1Control[點號],TB1Control[H座標])+'手簿 (Handbook)'!G20*TAN(RADIANS(運算表!G20))-'手簿 (Handbook)'!L20</f>
        <v>#N/A</v>
      </c>
    </row>
    <row r="21" spans="1:4" x14ac:dyDescent="0.3">
      <c r="A21" s="33">
        <f>'手簿 (Handbook)'!C21</f>
        <v>0</v>
      </c>
      <c r="B21" s="12" t="e">
        <f>_xlfn.XLOOKUP('手簿 (Handbook)'!A21,TB1Control[點號],TB1Control[N座標])+'手簿 (Handbook)'!G21*COS(RADIANS(運算表!B21))</f>
        <v>#N/A</v>
      </c>
      <c r="C21" s="12" t="e">
        <f>_xlfn.XLOOKUP('手簿 (Handbook)'!A21,TB1Control[點號],TB1Control[E座標])+'手簿 (Handbook)'!G21*SIN(RADIANS(運算表!B21))</f>
        <v>#N/A</v>
      </c>
      <c r="D21" s="12" t="e">
        <f>_xlfn.XLOOKUP('手簿 (Handbook)'!A21,TB1Control[點號],TB1Control[H座標])+'手簿 (Handbook)'!G21*TAN(RADIANS(運算表!G21))-'手簿 (Handbook)'!L21</f>
        <v>#N/A</v>
      </c>
    </row>
    <row r="22" spans="1:4" x14ac:dyDescent="0.3">
      <c r="A22" s="33">
        <f>'手簿 (Handbook)'!C22</f>
        <v>0</v>
      </c>
      <c r="B22" s="12" t="e">
        <f>_xlfn.XLOOKUP('手簿 (Handbook)'!A22,TB1Control[點號],TB1Control[N座標])+'手簿 (Handbook)'!G22*COS(RADIANS(運算表!B22))</f>
        <v>#N/A</v>
      </c>
      <c r="C22" s="12" t="e">
        <f>_xlfn.XLOOKUP('手簿 (Handbook)'!A22,TB1Control[點號],TB1Control[E座標])+'手簿 (Handbook)'!G22*SIN(RADIANS(運算表!B22))</f>
        <v>#N/A</v>
      </c>
      <c r="D22" s="12" t="e">
        <f>_xlfn.XLOOKUP('手簿 (Handbook)'!A22,TB1Control[點號],TB1Control[H座標])+'手簿 (Handbook)'!G22*TAN(RADIANS(運算表!G22))-'手簿 (Handbook)'!L22</f>
        <v>#N/A</v>
      </c>
    </row>
    <row r="23" spans="1:4" x14ac:dyDescent="0.3">
      <c r="A23" s="33">
        <f>'手簿 (Handbook)'!C23</f>
        <v>0</v>
      </c>
      <c r="B23" s="12" t="e">
        <f>_xlfn.XLOOKUP('手簿 (Handbook)'!A23,TB1Control[點號],TB1Control[N座標])+'手簿 (Handbook)'!G23*COS(RADIANS(運算表!B23))</f>
        <v>#N/A</v>
      </c>
      <c r="C23" s="12" t="e">
        <f>_xlfn.XLOOKUP('手簿 (Handbook)'!A23,TB1Control[點號],TB1Control[E座標])+'手簿 (Handbook)'!G23*SIN(RADIANS(運算表!B23))</f>
        <v>#N/A</v>
      </c>
      <c r="D23" s="12" t="e">
        <f>_xlfn.XLOOKUP('手簿 (Handbook)'!A23,TB1Control[點號],TB1Control[H座標])+'手簿 (Handbook)'!G23*TAN(RADIANS(運算表!G23))-'手簿 (Handbook)'!L23</f>
        <v>#N/A</v>
      </c>
    </row>
    <row r="24" spans="1:4" x14ac:dyDescent="0.3">
      <c r="A24" s="33">
        <f>'手簿 (Handbook)'!C24</f>
        <v>0</v>
      </c>
      <c r="B24" s="12" t="e">
        <f>_xlfn.XLOOKUP('手簿 (Handbook)'!A24,TB1Control[點號],TB1Control[N座標])+'手簿 (Handbook)'!G24*COS(RADIANS(運算表!B24))</f>
        <v>#N/A</v>
      </c>
      <c r="C24" s="12" t="e">
        <f>_xlfn.XLOOKUP('手簿 (Handbook)'!A24,TB1Control[點號],TB1Control[E座標])+'手簿 (Handbook)'!G24*SIN(RADIANS(運算表!B24))</f>
        <v>#N/A</v>
      </c>
      <c r="D24" s="12" t="e">
        <f>_xlfn.XLOOKUP('手簿 (Handbook)'!A24,TB1Control[點號],TB1Control[H座標])+'手簿 (Handbook)'!G24*TAN(RADIANS(運算表!G24))-'手簿 (Handbook)'!L24</f>
        <v>#N/A</v>
      </c>
    </row>
    <row r="25" spans="1:4" x14ac:dyDescent="0.3">
      <c r="A25" s="33">
        <f>'手簿 (Handbook)'!C25</f>
        <v>0</v>
      </c>
      <c r="B25" s="12" t="e">
        <f>_xlfn.XLOOKUP('手簿 (Handbook)'!A25,TB1Control[點號],TB1Control[N座標])+'手簿 (Handbook)'!G25*COS(RADIANS(運算表!B25))</f>
        <v>#N/A</v>
      </c>
      <c r="C25" s="12" t="e">
        <f>_xlfn.XLOOKUP('手簿 (Handbook)'!A25,TB1Control[點號],TB1Control[E座標])+'手簿 (Handbook)'!G25*SIN(RADIANS(運算表!B25))</f>
        <v>#N/A</v>
      </c>
      <c r="D25" s="12" t="e">
        <f>_xlfn.XLOOKUP('手簿 (Handbook)'!A25,TB1Control[點號],TB1Control[H座標])+'手簿 (Handbook)'!G25*TAN(RADIANS(運算表!G25))-'手簿 (Handbook)'!L25</f>
        <v>#N/A</v>
      </c>
    </row>
    <row r="26" spans="1:4" x14ac:dyDescent="0.3">
      <c r="A26" s="33">
        <f>'手簿 (Handbook)'!C26</f>
        <v>0</v>
      </c>
      <c r="B26" s="12" t="e">
        <f>_xlfn.XLOOKUP('手簿 (Handbook)'!A26,TB1Control[點號],TB1Control[N座標])+'手簿 (Handbook)'!G26*COS(RADIANS(運算表!B26))</f>
        <v>#N/A</v>
      </c>
      <c r="C26" s="12" t="e">
        <f>_xlfn.XLOOKUP('手簿 (Handbook)'!A26,TB1Control[點號],TB1Control[E座標])+'手簿 (Handbook)'!G26*SIN(RADIANS(運算表!B26))</f>
        <v>#N/A</v>
      </c>
      <c r="D26" s="12" t="e">
        <f>_xlfn.XLOOKUP('手簿 (Handbook)'!A26,TB1Control[點號],TB1Control[H座標])+'手簿 (Handbook)'!G26*TAN(RADIANS(運算表!G26))-'手簿 (Handbook)'!L26</f>
        <v>#N/A</v>
      </c>
    </row>
    <row r="27" spans="1:4" x14ac:dyDescent="0.3">
      <c r="A27" s="33">
        <f>'手簿 (Handbook)'!C27</f>
        <v>0</v>
      </c>
      <c r="B27" s="12" t="e">
        <f>_xlfn.XLOOKUP('手簿 (Handbook)'!A27,TB1Control[點號],TB1Control[N座標])+'手簿 (Handbook)'!G27*COS(RADIANS(運算表!B27))</f>
        <v>#N/A</v>
      </c>
      <c r="C27" s="12" t="e">
        <f>_xlfn.XLOOKUP('手簿 (Handbook)'!A27,TB1Control[點號],TB1Control[E座標])+'手簿 (Handbook)'!G27*SIN(RADIANS(運算表!B27))</f>
        <v>#N/A</v>
      </c>
      <c r="D27" s="12" t="e">
        <f>_xlfn.XLOOKUP('手簿 (Handbook)'!A27,TB1Control[點號],TB1Control[H座標])+'手簿 (Handbook)'!G27*TAN(RADIANS(運算表!G27))-'手簿 (Handbook)'!L27</f>
        <v>#N/A</v>
      </c>
    </row>
    <row r="28" spans="1:4" x14ac:dyDescent="0.3">
      <c r="A28" s="33">
        <f>'手簿 (Handbook)'!C28</f>
        <v>0</v>
      </c>
      <c r="B28" s="12" t="e">
        <f>_xlfn.XLOOKUP('手簿 (Handbook)'!A28,TB1Control[點號],TB1Control[N座標])+'手簿 (Handbook)'!G28*COS(RADIANS(運算表!B28))</f>
        <v>#N/A</v>
      </c>
      <c r="C28" s="12" t="e">
        <f>_xlfn.XLOOKUP('手簿 (Handbook)'!A28,TB1Control[點號],TB1Control[E座標])+'手簿 (Handbook)'!G28*SIN(RADIANS(運算表!B28))</f>
        <v>#N/A</v>
      </c>
      <c r="D28" s="12" t="e">
        <f>_xlfn.XLOOKUP('手簿 (Handbook)'!A28,TB1Control[點號],TB1Control[H座標])+'手簿 (Handbook)'!G28*TAN(RADIANS(運算表!G28))-'手簿 (Handbook)'!L28</f>
        <v>#N/A</v>
      </c>
    </row>
    <row r="29" spans="1:4" x14ac:dyDescent="0.3">
      <c r="A29" s="33">
        <f>'手簿 (Handbook)'!C29</f>
        <v>0</v>
      </c>
      <c r="B29" s="12" t="e">
        <f>_xlfn.XLOOKUP('手簿 (Handbook)'!A29,TB1Control[點號],TB1Control[N座標])+'手簿 (Handbook)'!G29*COS(RADIANS(運算表!B29))</f>
        <v>#N/A</v>
      </c>
      <c r="C29" s="12" t="e">
        <f>_xlfn.XLOOKUP('手簿 (Handbook)'!A29,TB1Control[點號],TB1Control[E座標])+'手簿 (Handbook)'!G29*SIN(RADIANS(運算表!B29))</f>
        <v>#N/A</v>
      </c>
      <c r="D29" s="12" t="e">
        <f>_xlfn.XLOOKUP('手簿 (Handbook)'!A29,TB1Control[點號],TB1Control[H座標])+'手簿 (Handbook)'!G29*TAN(RADIANS(運算表!G29))-'手簿 (Handbook)'!L29</f>
        <v>#N/A</v>
      </c>
    </row>
    <row r="30" spans="1:4" x14ac:dyDescent="0.3">
      <c r="A30" s="33">
        <f>'手簿 (Handbook)'!C30</f>
        <v>0</v>
      </c>
      <c r="B30" s="12" t="e">
        <f>_xlfn.XLOOKUP('手簿 (Handbook)'!A30,TB1Control[點號],TB1Control[N座標])+'手簿 (Handbook)'!G30*COS(RADIANS(運算表!B30))</f>
        <v>#N/A</v>
      </c>
      <c r="C30" s="12" t="e">
        <f>_xlfn.XLOOKUP('手簿 (Handbook)'!A30,TB1Control[點號],TB1Control[E座標])+'手簿 (Handbook)'!G30*SIN(RADIANS(運算表!B30))</f>
        <v>#N/A</v>
      </c>
      <c r="D30" s="12" t="e">
        <f>_xlfn.XLOOKUP('手簿 (Handbook)'!A30,TB1Control[點號],TB1Control[H座標])+'手簿 (Handbook)'!G30*TAN(RADIANS(運算表!G30))-'手簿 (Handbook)'!L30</f>
        <v>#N/A</v>
      </c>
    </row>
    <row r="31" spans="1:4" x14ac:dyDescent="0.3">
      <c r="A31" s="33">
        <f>'手簿 (Handbook)'!C31</f>
        <v>0</v>
      </c>
      <c r="B31" s="12" t="e">
        <f>_xlfn.XLOOKUP('手簿 (Handbook)'!A31,TB1Control[點號],TB1Control[N座標])+'手簿 (Handbook)'!G31*COS(RADIANS(運算表!B31))</f>
        <v>#N/A</v>
      </c>
      <c r="C31" s="12" t="e">
        <f>_xlfn.XLOOKUP('手簿 (Handbook)'!A31,TB1Control[點號],TB1Control[E座標])+'手簿 (Handbook)'!G31*SIN(RADIANS(運算表!B31))</f>
        <v>#N/A</v>
      </c>
      <c r="D31" s="12" t="e">
        <f>_xlfn.XLOOKUP('手簿 (Handbook)'!A31,TB1Control[點號],TB1Control[H座標])+'手簿 (Handbook)'!G31*TAN(RADIANS(運算表!G31))-'手簿 (Handbook)'!L31</f>
        <v>#N/A</v>
      </c>
    </row>
    <row r="32" spans="1:4" x14ac:dyDescent="0.3">
      <c r="A32" s="33">
        <f>'手簿 (Handbook)'!C32</f>
        <v>0</v>
      </c>
      <c r="B32" s="12" t="e">
        <f>_xlfn.XLOOKUP('手簿 (Handbook)'!A32,TB1Control[點號],TB1Control[N座標])+'手簿 (Handbook)'!G32*COS(RADIANS(運算表!B32))</f>
        <v>#N/A</v>
      </c>
      <c r="C32" s="12" t="e">
        <f>_xlfn.XLOOKUP('手簿 (Handbook)'!A32,TB1Control[點號],TB1Control[E座標])+'手簿 (Handbook)'!G32*SIN(RADIANS(運算表!B32))</f>
        <v>#N/A</v>
      </c>
      <c r="D32" s="12" t="e">
        <f>_xlfn.XLOOKUP('手簿 (Handbook)'!A32,TB1Control[點號],TB1Control[H座標])+'手簿 (Handbook)'!G32*TAN(RADIANS(運算表!G32))-'手簿 (Handbook)'!L32</f>
        <v>#N/A</v>
      </c>
    </row>
    <row r="33" spans="1:4" x14ac:dyDescent="0.3">
      <c r="A33" s="33">
        <f>'手簿 (Handbook)'!C33</f>
        <v>0</v>
      </c>
      <c r="B33" s="12" t="e">
        <f>_xlfn.XLOOKUP('手簿 (Handbook)'!A33,TB1Control[點號],TB1Control[N座標])+'手簿 (Handbook)'!G33*COS(RADIANS(運算表!B33))</f>
        <v>#N/A</v>
      </c>
      <c r="C33" s="12" t="e">
        <f>_xlfn.XLOOKUP('手簿 (Handbook)'!A33,TB1Control[點號],TB1Control[E座標])+'手簿 (Handbook)'!G33*SIN(RADIANS(運算表!B33))</f>
        <v>#N/A</v>
      </c>
      <c r="D33" s="12" t="e">
        <f>_xlfn.XLOOKUP('手簿 (Handbook)'!A33,TB1Control[點號],TB1Control[H座標])+'手簿 (Handbook)'!G33*TAN(RADIANS(運算表!G33))-'手簿 (Handbook)'!L33</f>
        <v>#N/A</v>
      </c>
    </row>
    <row r="34" spans="1:4" x14ac:dyDescent="0.3">
      <c r="A34" s="33">
        <f>'手簿 (Handbook)'!C34</f>
        <v>0</v>
      </c>
      <c r="B34" s="12" t="e">
        <f>_xlfn.XLOOKUP('手簿 (Handbook)'!A34,TB1Control[點號],TB1Control[N座標])+'手簿 (Handbook)'!G34*COS(RADIANS(運算表!B34))</f>
        <v>#N/A</v>
      </c>
      <c r="C34" s="12" t="e">
        <f>_xlfn.XLOOKUP('手簿 (Handbook)'!A34,TB1Control[點號],TB1Control[E座標])+'手簿 (Handbook)'!G34*SIN(RADIANS(運算表!B34))</f>
        <v>#N/A</v>
      </c>
      <c r="D34" s="12" t="e">
        <f>_xlfn.XLOOKUP('手簿 (Handbook)'!A34,TB1Control[點號],TB1Control[H座標])+'手簿 (Handbook)'!G34*TAN(RADIANS(運算表!G34))-'手簿 (Handbook)'!L34</f>
        <v>#N/A</v>
      </c>
    </row>
    <row r="35" spans="1:4" x14ac:dyDescent="0.3">
      <c r="A35" s="33">
        <f>'手簿 (Handbook)'!C35</f>
        <v>0</v>
      </c>
      <c r="B35" s="12" t="e">
        <f>_xlfn.XLOOKUP('手簿 (Handbook)'!A35,TB1Control[點號],TB1Control[N座標])+'手簿 (Handbook)'!G35*COS(RADIANS(運算表!B35))</f>
        <v>#N/A</v>
      </c>
      <c r="C35" s="12" t="e">
        <f>_xlfn.XLOOKUP('手簿 (Handbook)'!A35,TB1Control[點號],TB1Control[E座標])+'手簿 (Handbook)'!G35*SIN(RADIANS(運算表!B35))</f>
        <v>#N/A</v>
      </c>
      <c r="D35" s="12" t="e">
        <f>_xlfn.XLOOKUP('手簿 (Handbook)'!A35,TB1Control[點號],TB1Control[H座標])+'手簿 (Handbook)'!G35*TAN(RADIANS(運算表!G35))-'手簿 (Handbook)'!L35</f>
        <v>#N/A</v>
      </c>
    </row>
    <row r="36" spans="1:4" x14ac:dyDescent="0.3">
      <c r="A36" s="33">
        <f>'手簿 (Handbook)'!C36</f>
        <v>0</v>
      </c>
      <c r="B36" s="12" t="e">
        <f>_xlfn.XLOOKUP('手簿 (Handbook)'!A36,TB1Control[點號],TB1Control[N座標])+'手簿 (Handbook)'!G36*COS(RADIANS(運算表!B36))</f>
        <v>#N/A</v>
      </c>
      <c r="C36" s="12" t="e">
        <f>_xlfn.XLOOKUP('手簿 (Handbook)'!A36,TB1Control[點號],TB1Control[E座標])+'手簿 (Handbook)'!G36*SIN(RADIANS(運算表!B36))</f>
        <v>#N/A</v>
      </c>
      <c r="D36" s="12" t="e">
        <f>_xlfn.XLOOKUP('手簿 (Handbook)'!A36,TB1Control[點號],TB1Control[H座標])+'手簿 (Handbook)'!G36*TAN(RADIANS(運算表!G36))-'手簿 (Handbook)'!L36</f>
        <v>#N/A</v>
      </c>
    </row>
    <row r="37" spans="1:4" x14ac:dyDescent="0.3">
      <c r="A37" s="33">
        <f>'手簿 (Handbook)'!C37</f>
        <v>0</v>
      </c>
      <c r="B37" s="12" t="e">
        <f>_xlfn.XLOOKUP('手簿 (Handbook)'!A37,TB1Control[點號],TB1Control[N座標])+'手簿 (Handbook)'!G37*COS(RADIANS(運算表!B37))</f>
        <v>#N/A</v>
      </c>
      <c r="C37" s="12" t="e">
        <f>_xlfn.XLOOKUP('手簿 (Handbook)'!A37,TB1Control[點號],TB1Control[E座標])+'手簿 (Handbook)'!G37*SIN(RADIANS(運算表!B37))</f>
        <v>#N/A</v>
      </c>
      <c r="D37" s="12" t="e">
        <f>_xlfn.XLOOKUP('手簿 (Handbook)'!A37,TB1Control[點號],TB1Control[H座標])+'手簿 (Handbook)'!G37*TAN(RADIANS(運算表!G37))-'手簿 (Handbook)'!L37</f>
        <v>#N/A</v>
      </c>
    </row>
    <row r="38" spans="1:4" x14ac:dyDescent="0.3">
      <c r="A38" s="33">
        <f>'手簿 (Handbook)'!C38</f>
        <v>0</v>
      </c>
      <c r="B38" s="12" t="e">
        <f>_xlfn.XLOOKUP('手簿 (Handbook)'!A38,TB1Control[點號],TB1Control[N座標])+'手簿 (Handbook)'!G38*COS(RADIANS(運算表!B38))</f>
        <v>#N/A</v>
      </c>
      <c r="C38" s="12" t="e">
        <f>_xlfn.XLOOKUP('手簿 (Handbook)'!A38,TB1Control[點號],TB1Control[E座標])+'手簿 (Handbook)'!G38*SIN(RADIANS(運算表!B38))</f>
        <v>#N/A</v>
      </c>
      <c r="D38" s="12" t="e">
        <f>_xlfn.XLOOKUP('手簿 (Handbook)'!A38,TB1Control[點號],TB1Control[H座標])+'手簿 (Handbook)'!G38*TAN(RADIANS(運算表!G38))-'手簿 (Handbook)'!L38</f>
        <v>#N/A</v>
      </c>
    </row>
    <row r="39" spans="1:4" x14ac:dyDescent="0.3">
      <c r="A39" s="33">
        <f>'手簿 (Handbook)'!C39</f>
        <v>0</v>
      </c>
      <c r="B39" s="12" t="e">
        <f>_xlfn.XLOOKUP('手簿 (Handbook)'!A39,TB1Control[點號],TB1Control[N座標])+'手簿 (Handbook)'!G39*COS(RADIANS(運算表!B39))</f>
        <v>#N/A</v>
      </c>
      <c r="C39" s="12" t="e">
        <f>_xlfn.XLOOKUP('手簿 (Handbook)'!A39,TB1Control[點號],TB1Control[E座標])+'手簿 (Handbook)'!G39*SIN(RADIANS(運算表!B39))</f>
        <v>#N/A</v>
      </c>
      <c r="D39" s="12" t="e">
        <f>_xlfn.XLOOKUP('手簿 (Handbook)'!A39,TB1Control[點號],TB1Control[H座標])+'手簿 (Handbook)'!G39*TAN(RADIANS(運算表!G39))-'手簿 (Handbook)'!L39</f>
        <v>#N/A</v>
      </c>
    </row>
    <row r="40" spans="1:4" x14ac:dyDescent="0.3">
      <c r="A40" s="33">
        <f>'手簿 (Handbook)'!C40</f>
        <v>0</v>
      </c>
      <c r="B40" s="12" t="e">
        <f>_xlfn.XLOOKUP('手簿 (Handbook)'!A40,TB1Control[點號],TB1Control[N座標])+'手簿 (Handbook)'!G40*COS(RADIANS(運算表!B40))</f>
        <v>#N/A</v>
      </c>
      <c r="C40" s="12" t="e">
        <f>_xlfn.XLOOKUP('手簿 (Handbook)'!A40,TB1Control[點號],TB1Control[E座標])+'手簿 (Handbook)'!G40*SIN(RADIANS(運算表!B40))</f>
        <v>#N/A</v>
      </c>
      <c r="D40" s="12" t="e">
        <f>_xlfn.XLOOKUP('手簿 (Handbook)'!A40,TB1Control[點號],TB1Control[H座標])+'手簿 (Handbook)'!G40*TAN(RADIANS(運算表!G40))-'手簿 (Handbook)'!L40</f>
        <v>#N/A</v>
      </c>
    </row>
    <row r="41" spans="1:4" x14ac:dyDescent="0.3">
      <c r="A41" s="33">
        <f>'手簿 (Handbook)'!C41</f>
        <v>0</v>
      </c>
      <c r="B41" s="12" t="e">
        <f>_xlfn.XLOOKUP('手簿 (Handbook)'!A41,TB1Control[點號],TB1Control[N座標])+'手簿 (Handbook)'!G41*COS(RADIANS(運算表!B41))</f>
        <v>#N/A</v>
      </c>
      <c r="C41" s="12" t="e">
        <f>_xlfn.XLOOKUP('手簿 (Handbook)'!A41,TB1Control[點號],TB1Control[E座標])+'手簿 (Handbook)'!G41*SIN(RADIANS(運算表!B41))</f>
        <v>#N/A</v>
      </c>
      <c r="D41" s="12" t="e">
        <f>_xlfn.XLOOKUP('手簿 (Handbook)'!A41,TB1Control[點號],TB1Control[H座標])+'手簿 (Handbook)'!G41*TAN(RADIANS(運算表!G41))-'手簿 (Handbook)'!L41</f>
        <v>#N/A</v>
      </c>
    </row>
    <row r="42" spans="1:4" x14ac:dyDescent="0.3">
      <c r="A42" s="33">
        <f>'手簿 (Handbook)'!C42</f>
        <v>0</v>
      </c>
      <c r="B42" s="12" t="e">
        <f>_xlfn.XLOOKUP('手簿 (Handbook)'!A42,TB1Control[點號],TB1Control[N座標])+'手簿 (Handbook)'!G42*COS(RADIANS(運算表!B42))</f>
        <v>#N/A</v>
      </c>
      <c r="C42" s="12" t="e">
        <f>_xlfn.XLOOKUP('手簿 (Handbook)'!A42,TB1Control[點號],TB1Control[E座標])+'手簿 (Handbook)'!G42*SIN(RADIANS(運算表!B42))</f>
        <v>#N/A</v>
      </c>
      <c r="D42" s="12" t="e">
        <f>_xlfn.XLOOKUP('手簿 (Handbook)'!A42,TB1Control[點號],TB1Control[H座標])+'手簿 (Handbook)'!G42*TAN(RADIANS(運算表!G42))-'手簿 (Handbook)'!L42</f>
        <v>#N/A</v>
      </c>
    </row>
    <row r="43" spans="1:4" x14ac:dyDescent="0.3">
      <c r="A43" s="33">
        <f>'手簿 (Handbook)'!C43</f>
        <v>0</v>
      </c>
      <c r="B43" s="12" t="e">
        <f>_xlfn.XLOOKUP('手簿 (Handbook)'!A43,TB1Control[點號],TB1Control[N座標])+'手簿 (Handbook)'!G43*COS(RADIANS(運算表!B43))</f>
        <v>#N/A</v>
      </c>
      <c r="C43" s="12" t="e">
        <f>_xlfn.XLOOKUP('手簿 (Handbook)'!A43,TB1Control[點號],TB1Control[E座標])+'手簿 (Handbook)'!G43*SIN(RADIANS(運算表!B43))</f>
        <v>#N/A</v>
      </c>
      <c r="D43" s="12" t="e">
        <f>_xlfn.XLOOKUP('手簿 (Handbook)'!A43,TB1Control[點號],TB1Control[H座標])+'手簿 (Handbook)'!G43*TAN(RADIANS(運算表!G43))-'手簿 (Handbook)'!L43</f>
        <v>#N/A</v>
      </c>
    </row>
    <row r="44" spans="1:4" x14ac:dyDescent="0.3">
      <c r="A44" s="33">
        <f>'手簿 (Handbook)'!C44</f>
        <v>0</v>
      </c>
      <c r="B44" s="12" t="e">
        <f>_xlfn.XLOOKUP('手簿 (Handbook)'!A44,TB1Control[點號],TB1Control[N座標])+'手簿 (Handbook)'!G44*COS(RADIANS(運算表!B44))</f>
        <v>#N/A</v>
      </c>
      <c r="C44" s="12" t="e">
        <f>_xlfn.XLOOKUP('手簿 (Handbook)'!A44,TB1Control[點號],TB1Control[E座標])+'手簿 (Handbook)'!G44*SIN(RADIANS(運算表!B44))</f>
        <v>#N/A</v>
      </c>
      <c r="D44" s="12" t="e">
        <f>_xlfn.XLOOKUP('手簿 (Handbook)'!A44,TB1Control[點號],TB1Control[H座標])+'手簿 (Handbook)'!G44*TAN(RADIANS(運算表!G44))-'手簿 (Handbook)'!L44</f>
        <v>#N/A</v>
      </c>
    </row>
    <row r="45" spans="1:4" x14ac:dyDescent="0.3">
      <c r="A45" s="33">
        <f>'手簿 (Handbook)'!C45</f>
        <v>0</v>
      </c>
      <c r="B45" s="12" t="e">
        <f>_xlfn.XLOOKUP('手簿 (Handbook)'!A45,TB1Control[點號],TB1Control[N座標])+'手簿 (Handbook)'!G45*COS(RADIANS(運算表!B45))</f>
        <v>#N/A</v>
      </c>
      <c r="C45" s="12" t="e">
        <f>_xlfn.XLOOKUP('手簿 (Handbook)'!A45,TB1Control[點號],TB1Control[E座標])+'手簿 (Handbook)'!G45*SIN(RADIANS(運算表!B45))</f>
        <v>#N/A</v>
      </c>
      <c r="D45" s="12" t="e">
        <f>_xlfn.XLOOKUP('手簿 (Handbook)'!A45,TB1Control[點號],TB1Control[H座標])+'手簿 (Handbook)'!G45*TAN(RADIANS(運算表!G45))-'手簿 (Handbook)'!L45</f>
        <v>#N/A</v>
      </c>
    </row>
    <row r="46" spans="1:4" x14ac:dyDescent="0.3">
      <c r="A46" s="33">
        <f>'手簿 (Handbook)'!C46</f>
        <v>0</v>
      </c>
      <c r="B46" s="12" t="e">
        <f>_xlfn.XLOOKUP('手簿 (Handbook)'!A46,TB1Control[點號],TB1Control[N座標])+'手簿 (Handbook)'!G46*COS(RADIANS(運算表!B46))</f>
        <v>#N/A</v>
      </c>
      <c r="C46" s="12" t="e">
        <f>_xlfn.XLOOKUP('手簿 (Handbook)'!A46,TB1Control[點號],TB1Control[E座標])+'手簿 (Handbook)'!G46*SIN(RADIANS(運算表!B46))</f>
        <v>#N/A</v>
      </c>
      <c r="D46" s="12" t="e">
        <f>_xlfn.XLOOKUP('手簿 (Handbook)'!A46,TB1Control[點號],TB1Control[H座標])+'手簿 (Handbook)'!G46*TAN(RADIANS(運算表!G46))-'手簿 (Handbook)'!L46</f>
        <v>#N/A</v>
      </c>
    </row>
    <row r="47" spans="1:4" x14ac:dyDescent="0.3">
      <c r="A47" s="33">
        <f>'手簿 (Handbook)'!C47</f>
        <v>0</v>
      </c>
      <c r="B47" s="12" t="e">
        <f>_xlfn.XLOOKUP('手簿 (Handbook)'!A47,TB1Control[點號],TB1Control[N座標])+'手簿 (Handbook)'!G47*COS(RADIANS(運算表!B47))</f>
        <v>#N/A</v>
      </c>
      <c r="C47" s="12" t="e">
        <f>_xlfn.XLOOKUP('手簿 (Handbook)'!A47,TB1Control[點號],TB1Control[E座標])+'手簿 (Handbook)'!G47*SIN(RADIANS(運算表!B47))</f>
        <v>#N/A</v>
      </c>
      <c r="D47" s="12" t="e">
        <f>_xlfn.XLOOKUP('手簿 (Handbook)'!A47,TB1Control[點號],TB1Control[H座標])+'手簿 (Handbook)'!G47*TAN(RADIANS(運算表!G47))-'手簿 (Handbook)'!L47</f>
        <v>#N/A</v>
      </c>
    </row>
    <row r="48" spans="1:4" x14ac:dyDescent="0.3">
      <c r="A48" s="33">
        <f>'手簿 (Handbook)'!C48</f>
        <v>0</v>
      </c>
      <c r="B48" s="12" t="e">
        <f>_xlfn.XLOOKUP('手簿 (Handbook)'!A48,TB1Control[點號],TB1Control[N座標])+'手簿 (Handbook)'!G48*COS(RADIANS(運算表!B48))</f>
        <v>#N/A</v>
      </c>
      <c r="C48" s="12" t="e">
        <f>_xlfn.XLOOKUP('手簿 (Handbook)'!A48,TB1Control[點號],TB1Control[E座標])+'手簿 (Handbook)'!G48*SIN(RADIANS(運算表!B48))</f>
        <v>#N/A</v>
      </c>
      <c r="D48" s="12" t="e">
        <f>_xlfn.XLOOKUP('手簿 (Handbook)'!A48,TB1Control[點號],TB1Control[H座標])+'手簿 (Handbook)'!G48*TAN(RADIANS(運算表!G48))-'手簿 (Handbook)'!L48</f>
        <v>#N/A</v>
      </c>
    </row>
    <row r="49" spans="1:4" x14ac:dyDescent="0.3">
      <c r="A49" s="33">
        <f>'手簿 (Handbook)'!C49</f>
        <v>0</v>
      </c>
      <c r="B49" s="12" t="e">
        <f>_xlfn.XLOOKUP('手簿 (Handbook)'!A49,TB1Control[點號],TB1Control[N座標])+'手簿 (Handbook)'!G49*COS(RADIANS(運算表!B49))</f>
        <v>#N/A</v>
      </c>
      <c r="C49" s="12" t="e">
        <f>_xlfn.XLOOKUP('手簿 (Handbook)'!A49,TB1Control[點號],TB1Control[E座標])+'手簿 (Handbook)'!G49*SIN(RADIANS(運算表!B49))</f>
        <v>#N/A</v>
      </c>
      <c r="D49" s="12" t="e">
        <f>_xlfn.XLOOKUP('手簿 (Handbook)'!A49,TB1Control[點號],TB1Control[H座標])+'手簿 (Handbook)'!G49*TAN(RADIANS(運算表!G49))-'手簿 (Handbook)'!L49</f>
        <v>#N/A</v>
      </c>
    </row>
    <row r="50" spans="1:4" x14ac:dyDescent="0.3">
      <c r="A50" s="33">
        <f>'手簿 (Handbook)'!C50</f>
        <v>0</v>
      </c>
      <c r="B50" s="12" t="e">
        <f>_xlfn.XLOOKUP('手簿 (Handbook)'!A50,TB1Control[點號],TB1Control[N座標])+'手簿 (Handbook)'!G50*COS(RADIANS(運算表!B50))</f>
        <v>#N/A</v>
      </c>
      <c r="C50" s="12" t="e">
        <f>_xlfn.XLOOKUP('手簿 (Handbook)'!A50,TB1Control[點號],TB1Control[E座標])+'手簿 (Handbook)'!G50*SIN(RADIANS(運算表!B50))</f>
        <v>#N/A</v>
      </c>
      <c r="D50" s="12" t="e">
        <f>_xlfn.XLOOKUP('手簿 (Handbook)'!A50,TB1Control[點號],TB1Control[H座標])+'手簿 (Handbook)'!G50*TAN(RADIANS(運算表!G50))-'手簿 (Handbook)'!L50</f>
        <v>#N/A</v>
      </c>
    </row>
    <row r="51" spans="1:4" x14ac:dyDescent="0.3">
      <c r="A51" s="33">
        <f>'手簿 (Handbook)'!C51</f>
        <v>0</v>
      </c>
      <c r="B51" s="12" t="e">
        <f>_xlfn.XLOOKUP('手簿 (Handbook)'!A51,TB1Control[點號],TB1Control[N座標])+'手簿 (Handbook)'!G51*COS(RADIANS(運算表!B51))</f>
        <v>#N/A</v>
      </c>
      <c r="C51" s="12" t="e">
        <f>_xlfn.XLOOKUP('手簿 (Handbook)'!A51,TB1Control[點號],TB1Control[E座標])+'手簿 (Handbook)'!G51*SIN(RADIANS(運算表!B51))</f>
        <v>#N/A</v>
      </c>
      <c r="D51" s="12" t="e">
        <f>_xlfn.XLOOKUP('手簿 (Handbook)'!A51,TB1Control[點號],TB1Control[H座標])+'手簿 (Handbook)'!G51*TAN(RADIANS(運算表!G51))-'手簿 (Handbook)'!L51</f>
        <v>#N/A</v>
      </c>
    </row>
    <row r="52" spans="1:4" x14ac:dyDescent="0.3">
      <c r="A52" s="33">
        <f>'手簿 (Handbook)'!C52</f>
        <v>0</v>
      </c>
      <c r="B52" s="12" t="e">
        <f>_xlfn.XLOOKUP('手簿 (Handbook)'!A52,TB1Control[點號],TB1Control[N座標])+'手簿 (Handbook)'!G52*COS(RADIANS(運算表!B52))</f>
        <v>#N/A</v>
      </c>
      <c r="C52" s="12" t="e">
        <f>_xlfn.XLOOKUP('手簿 (Handbook)'!A52,TB1Control[點號],TB1Control[E座標])+'手簿 (Handbook)'!G52*SIN(RADIANS(運算表!B52))</f>
        <v>#N/A</v>
      </c>
      <c r="D52" s="12" t="e">
        <f>_xlfn.XLOOKUP('手簿 (Handbook)'!A52,TB1Control[點號],TB1Control[H座標])+'手簿 (Handbook)'!G52*TAN(RADIANS(運算表!G52))-'手簿 (Handbook)'!L52</f>
        <v>#N/A</v>
      </c>
    </row>
    <row r="53" spans="1:4" x14ac:dyDescent="0.3">
      <c r="A53" s="33">
        <f>'手簿 (Handbook)'!C53</f>
        <v>0</v>
      </c>
      <c r="B53" s="12" t="e">
        <f>_xlfn.XLOOKUP('手簿 (Handbook)'!A53,TB1Control[點號],TB1Control[N座標])+'手簿 (Handbook)'!G53*COS(RADIANS(運算表!B53))</f>
        <v>#N/A</v>
      </c>
      <c r="C53" s="12" t="e">
        <f>_xlfn.XLOOKUP('手簿 (Handbook)'!A53,TB1Control[點號],TB1Control[E座標])+'手簿 (Handbook)'!G53*SIN(RADIANS(運算表!B53))</f>
        <v>#N/A</v>
      </c>
      <c r="D53" s="12" t="e">
        <f>_xlfn.XLOOKUP('手簿 (Handbook)'!A53,TB1Control[點號],TB1Control[H座標])+'手簿 (Handbook)'!G53*TAN(RADIANS(運算表!G53))-'手簿 (Handbook)'!L53</f>
        <v>#N/A</v>
      </c>
    </row>
    <row r="54" spans="1:4" x14ac:dyDescent="0.3">
      <c r="A54" s="33">
        <f>'手簿 (Handbook)'!C54</f>
        <v>0</v>
      </c>
      <c r="B54" s="12" t="e">
        <f>_xlfn.XLOOKUP('手簿 (Handbook)'!A54,TB1Control[點號],TB1Control[N座標])+'手簿 (Handbook)'!G54*COS(RADIANS(運算表!B54))</f>
        <v>#N/A</v>
      </c>
      <c r="C54" s="12" t="e">
        <f>_xlfn.XLOOKUP('手簿 (Handbook)'!A54,TB1Control[點號],TB1Control[E座標])+'手簿 (Handbook)'!G54*SIN(RADIANS(運算表!B54))</f>
        <v>#N/A</v>
      </c>
      <c r="D54" s="12" t="e">
        <f>_xlfn.XLOOKUP('手簿 (Handbook)'!A54,TB1Control[點號],TB1Control[H座標])+'手簿 (Handbook)'!G54*TAN(RADIANS(運算表!G54))-'手簿 (Handbook)'!L54</f>
        <v>#N/A</v>
      </c>
    </row>
    <row r="55" spans="1:4" x14ac:dyDescent="0.3">
      <c r="A55" s="33">
        <f>'手簿 (Handbook)'!C55</f>
        <v>0</v>
      </c>
      <c r="B55" s="12" t="e">
        <f>_xlfn.XLOOKUP('手簿 (Handbook)'!A55,TB1Control[點號],TB1Control[N座標])+'手簿 (Handbook)'!G55*COS(RADIANS(運算表!B55))</f>
        <v>#N/A</v>
      </c>
      <c r="C55" s="12" t="e">
        <f>_xlfn.XLOOKUP('手簿 (Handbook)'!A55,TB1Control[點號],TB1Control[E座標])+'手簿 (Handbook)'!G55*SIN(RADIANS(運算表!B55))</f>
        <v>#N/A</v>
      </c>
      <c r="D55" s="12" t="e">
        <f>_xlfn.XLOOKUP('手簿 (Handbook)'!A55,TB1Control[點號],TB1Control[H座標])+'手簿 (Handbook)'!G55*TAN(RADIANS(運算表!G55))-'手簿 (Handbook)'!L55</f>
        <v>#N/A</v>
      </c>
    </row>
    <row r="56" spans="1:4" x14ac:dyDescent="0.3">
      <c r="A56" s="33">
        <f>'手簿 (Handbook)'!C56</f>
        <v>0</v>
      </c>
      <c r="B56" s="12" t="e">
        <f>_xlfn.XLOOKUP('手簿 (Handbook)'!A56,TB1Control[點號],TB1Control[N座標])+'手簿 (Handbook)'!G56*COS(RADIANS(運算表!B56))</f>
        <v>#N/A</v>
      </c>
      <c r="C56" s="12" t="e">
        <f>_xlfn.XLOOKUP('手簿 (Handbook)'!A56,TB1Control[點號],TB1Control[E座標])+'手簿 (Handbook)'!G56*SIN(RADIANS(運算表!B56))</f>
        <v>#N/A</v>
      </c>
      <c r="D56" s="12" t="e">
        <f>_xlfn.XLOOKUP('手簿 (Handbook)'!A56,TB1Control[點號],TB1Control[H座標])+'手簿 (Handbook)'!G56*TAN(RADIANS(運算表!G56))-'手簿 (Handbook)'!L56</f>
        <v>#N/A</v>
      </c>
    </row>
    <row r="57" spans="1:4" x14ac:dyDescent="0.3">
      <c r="A57" s="33">
        <f>'手簿 (Handbook)'!C57</f>
        <v>0</v>
      </c>
      <c r="B57" s="12" t="e">
        <f>_xlfn.XLOOKUP('手簿 (Handbook)'!A57,TB1Control[點號],TB1Control[N座標])+'手簿 (Handbook)'!G57*COS(RADIANS(運算表!B57))</f>
        <v>#N/A</v>
      </c>
      <c r="C57" s="12" t="e">
        <f>_xlfn.XLOOKUP('手簿 (Handbook)'!A57,TB1Control[點號],TB1Control[E座標])+'手簿 (Handbook)'!G57*SIN(RADIANS(運算表!B57))</f>
        <v>#N/A</v>
      </c>
      <c r="D57" s="12" t="e">
        <f>_xlfn.XLOOKUP('手簿 (Handbook)'!A57,TB1Control[點號],TB1Control[H座標])+'手簿 (Handbook)'!G57*TAN(RADIANS(運算表!G57))-'手簿 (Handbook)'!L57</f>
        <v>#N/A</v>
      </c>
    </row>
    <row r="58" spans="1:4" x14ac:dyDescent="0.3">
      <c r="A58" s="33">
        <f>'手簿 (Handbook)'!C58</f>
        <v>0</v>
      </c>
      <c r="B58" s="12" t="e">
        <f>_xlfn.XLOOKUP('手簿 (Handbook)'!A58,TB1Control[點號],TB1Control[N座標])+'手簿 (Handbook)'!G58*COS(RADIANS(運算表!B58))</f>
        <v>#N/A</v>
      </c>
      <c r="C58" s="12" t="e">
        <f>_xlfn.XLOOKUP('手簿 (Handbook)'!A58,TB1Control[點號],TB1Control[E座標])+'手簿 (Handbook)'!G58*SIN(RADIANS(運算表!B58))</f>
        <v>#N/A</v>
      </c>
      <c r="D58" s="12" t="e">
        <f>_xlfn.XLOOKUP('手簿 (Handbook)'!A58,TB1Control[點號],TB1Control[H座標])+'手簿 (Handbook)'!G58*TAN(RADIANS(運算表!G58))-'手簿 (Handbook)'!L58</f>
        <v>#N/A</v>
      </c>
    </row>
    <row r="59" spans="1:4" x14ac:dyDescent="0.3">
      <c r="A59" s="33">
        <f>'手簿 (Handbook)'!C59</f>
        <v>0</v>
      </c>
      <c r="B59" s="12" t="e">
        <f>_xlfn.XLOOKUP('手簿 (Handbook)'!A59,TB1Control[點號],TB1Control[N座標])+'手簿 (Handbook)'!G59*COS(RADIANS(運算表!B59))</f>
        <v>#N/A</v>
      </c>
      <c r="C59" s="12" t="e">
        <f>_xlfn.XLOOKUP('手簿 (Handbook)'!A59,TB1Control[點號],TB1Control[E座標])+'手簿 (Handbook)'!G59*SIN(RADIANS(運算表!B59))</f>
        <v>#N/A</v>
      </c>
      <c r="D59" s="12" t="e">
        <f>_xlfn.XLOOKUP('手簿 (Handbook)'!A59,TB1Control[點號],TB1Control[H座標])+'手簿 (Handbook)'!G59*TAN(RADIANS(運算表!G59))-'手簿 (Handbook)'!L59</f>
        <v>#N/A</v>
      </c>
    </row>
    <row r="60" spans="1:4" x14ac:dyDescent="0.3">
      <c r="A60" s="33">
        <f>'手簿 (Handbook)'!C60</f>
        <v>0</v>
      </c>
      <c r="B60" s="12" t="e">
        <f>_xlfn.XLOOKUP('手簿 (Handbook)'!A60,TB1Control[點號],TB1Control[N座標])+'手簿 (Handbook)'!G60*COS(RADIANS(運算表!B60))</f>
        <v>#N/A</v>
      </c>
      <c r="C60" s="12" t="e">
        <f>_xlfn.XLOOKUP('手簿 (Handbook)'!A60,TB1Control[點號],TB1Control[E座標])+'手簿 (Handbook)'!G60*SIN(RADIANS(運算表!B60))</f>
        <v>#N/A</v>
      </c>
      <c r="D60" s="12" t="e">
        <f>_xlfn.XLOOKUP('手簿 (Handbook)'!A60,TB1Control[點號],TB1Control[H座標])+'手簿 (Handbook)'!G60*TAN(RADIANS(運算表!G60))-'手簿 (Handbook)'!L60</f>
        <v>#N/A</v>
      </c>
    </row>
    <row r="61" spans="1:4" x14ac:dyDescent="0.3">
      <c r="A61" s="33">
        <f>'手簿 (Handbook)'!C61</f>
        <v>0</v>
      </c>
      <c r="B61" s="12" t="e">
        <f>_xlfn.XLOOKUP('手簿 (Handbook)'!A61,TB1Control[點號],TB1Control[N座標])+'手簿 (Handbook)'!G61*COS(RADIANS(運算表!B61))</f>
        <v>#N/A</v>
      </c>
      <c r="C61" s="12" t="e">
        <f>_xlfn.XLOOKUP('手簿 (Handbook)'!A61,TB1Control[點號],TB1Control[E座標])+'手簿 (Handbook)'!G61*SIN(RADIANS(運算表!B61))</f>
        <v>#N/A</v>
      </c>
      <c r="D61" s="12" t="e">
        <f>_xlfn.XLOOKUP('手簿 (Handbook)'!A61,TB1Control[點號],TB1Control[H座標])+'手簿 (Handbook)'!G61*TAN(RADIANS(運算表!G61))-'手簿 (Handbook)'!L61</f>
        <v>#N/A</v>
      </c>
    </row>
    <row r="62" spans="1:4" x14ac:dyDescent="0.3">
      <c r="A62" s="33">
        <f>'手簿 (Handbook)'!C62</f>
        <v>0</v>
      </c>
      <c r="B62" s="12" t="e">
        <f>_xlfn.XLOOKUP('手簿 (Handbook)'!A62,TB1Control[點號],TB1Control[N座標])+'手簿 (Handbook)'!G62*COS(RADIANS(運算表!B62))</f>
        <v>#N/A</v>
      </c>
      <c r="C62" s="12" t="e">
        <f>_xlfn.XLOOKUP('手簿 (Handbook)'!A62,TB1Control[點號],TB1Control[E座標])+'手簿 (Handbook)'!G62*SIN(RADIANS(運算表!B62))</f>
        <v>#N/A</v>
      </c>
      <c r="D62" s="12" t="e">
        <f>_xlfn.XLOOKUP('手簿 (Handbook)'!A62,TB1Control[點號],TB1Control[H座標])+'手簿 (Handbook)'!G62*TAN(RADIANS(運算表!G62))-'手簿 (Handbook)'!L62</f>
        <v>#N/A</v>
      </c>
    </row>
    <row r="63" spans="1:4" x14ac:dyDescent="0.3">
      <c r="A63" s="33">
        <f>'手簿 (Handbook)'!C63</f>
        <v>0</v>
      </c>
      <c r="B63" s="12" t="e">
        <f>_xlfn.XLOOKUP('手簿 (Handbook)'!A63,TB1Control[點號],TB1Control[N座標])+'手簿 (Handbook)'!G63*COS(RADIANS(運算表!B63))</f>
        <v>#N/A</v>
      </c>
      <c r="C63" s="12" t="e">
        <f>_xlfn.XLOOKUP('手簿 (Handbook)'!A63,TB1Control[點號],TB1Control[E座標])+'手簿 (Handbook)'!G63*SIN(RADIANS(運算表!B63))</f>
        <v>#N/A</v>
      </c>
      <c r="D63" s="12" t="e">
        <f>_xlfn.XLOOKUP('手簿 (Handbook)'!A63,TB1Control[點號],TB1Control[H座標])+'手簿 (Handbook)'!G63*TAN(RADIANS(運算表!G63))-'手簿 (Handbook)'!L63</f>
        <v>#N/A</v>
      </c>
    </row>
    <row r="64" spans="1:4" x14ac:dyDescent="0.3">
      <c r="A64" s="33">
        <f>'手簿 (Handbook)'!C64</f>
        <v>0</v>
      </c>
      <c r="B64" s="12" t="e">
        <f>_xlfn.XLOOKUP('手簿 (Handbook)'!A64,TB1Control[點號],TB1Control[N座標])+'手簿 (Handbook)'!G64*COS(RADIANS(運算表!B64))</f>
        <v>#N/A</v>
      </c>
      <c r="C64" s="12" t="e">
        <f>_xlfn.XLOOKUP('手簿 (Handbook)'!A64,TB1Control[點號],TB1Control[E座標])+'手簿 (Handbook)'!G64*SIN(RADIANS(運算表!B64))</f>
        <v>#N/A</v>
      </c>
      <c r="D64" s="12" t="e">
        <f>_xlfn.XLOOKUP('手簿 (Handbook)'!A64,TB1Control[點號],TB1Control[H座標])+'手簿 (Handbook)'!G64*TAN(RADIANS(運算表!G64))-'手簿 (Handbook)'!L64</f>
        <v>#N/A</v>
      </c>
    </row>
    <row r="65" spans="1:4" x14ac:dyDescent="0.3">
      <c r="A65" s="33">
        <f>'手簿 (Handbook)'!C65</f>
        <v>0</v>
      </c>
      <c r="B65" s="12" t="e">
        <f>_xlfn.XLOOKUP('手簿 (Handbook)'!A65,TB1Control[點號],TB1Control[N座標])+'手簿 (Handbook)'!G65*COS(RADIANS(運算表!B65))</f>
        <v>#N/A</v>
      </c>
      <c r="C65" s="12" t="e">
        <f>_xlfn.XLOOKUP('手簿 (Handbook)'!A65,TB1Control[點號],TB1Control[E座標])+'手簿 (Handbook)'!G65*SIN(RADIANS(運算表!B65))</f>
        <v>#N/A</v>
      </c>
      <c r="D65" s="12" t="e">
        <f>_xlfn.XLOOKUP('手簿 (Handbook)'!A65,TB1Control[點號],TB1Control[H座標])+'手簿 (Handbook)'!G65*TAN(RADIANS(運算表!G65))-'手簿 (Handbook)'!L65</f>
        <v>#N/A</v>
      </c>
    </row>
    <row r="66" spans="1:4" x14ac:dyDescent="0.3">
      <c r="A66" s="33">
        <f>'手簿 (Handbook)'!C66</f>
        <v>0</v>
      </c>
      <c r="B66" s="12" t="e">
        <f>_xlfn.XLOOKUP('手簿 (Handbook)'!A66,TB1Control[點號],TB1Control[N座標])+'手簿 (Handbook)'!G66*COS(RADIANS(運算表!B66))</f>
        <v>#N/A</v>
      </c>
      <c r="C66" s="12" t="e">
        <f>_xlfn.XLOOKUP('手簿 (Handbook)'!A66,TB1Control[點號],TB1Control[E座標])+'手簿 (Handbook)'!G66*SIN(RADIANS(運算表!B66))</f>
        <v>#N/A</v>
      </c>
      <c r="D66" s="12" t="e">
        <f>_xlfn.XLOOKUP('手簿 (Handbook)'!A66,TB1Control[點號],TB1Control[H座標])+'手簿 (Handbook)'!G66*TAN(RADIANS(運算表!G66))-'手簿 (Handbook)'!L66</f>
        <v>#N/A</v>
      </c>
    </row>
    <row r="67" spans="1:4" x14ac:dyDescent="0.3">
      <c r="A67" s="33">
        <f>'手簿 (Handbook)'!C67</f>
        <v>0</v>
      </c>
      <c r="B67" s="12" t="e">
        <f>_xlfn.XLOOKUP('手簿 (Handbook)'!A67,TB1Control[點號],TB1Control[N座標])+'手簿 (Handbook)'!G67*COS(RADIANS(運算表!B67))</f>
        <v>#N/A</v>
      </c>
      <c r="C67" s="12" t="e">
        <f>_xlfn.XLOOKUP('手簿 (Handbook)'!A67,TB1Control[點號],TB1Control[E座標])+'手簿 (Handbook)'!G67*SIN(RADIANS(運算表!B67))</f>
        <v>#N/A</v>
      </c>
      <c r="D67" s="12" t="e">
        <f>_xlfn.XLOOKUP('手簿 (Handbook)'!A67,TB1Control[點號],TB1Control[H座標])+'手簿 (Handbook)'!G67*TAN(RADIANS(運算表!G67))-'手簿 (Handbook)'!L67</f>
        <v>#N/A</v>
      </c>
    </row>
    <row r="68" spans="1:4" x14ac:dyDescent="0.3">
      <c r="A68" s="33">
        <f>'手簿 (Handbook)'!C68</f>
        <v>0</v>
      </c>
      <c r="B68" s="12" t="e">
        <f>_xlfn.XLOOKUP('手簿 (Handbook)'!A68,TB1Control[點號],TB1Control[N座標])+'手簿 (Handbook)'!G68*COS(RADIANS(運算表!B68))</f>
        <v>#N/A</v>
      </c>
      <c r="C68" s="12" t="e">
        <f>_xlfn.XLOOKUP('手簿 (Handbook)'!A68,TB1Control[點號],TB1Control[E座標])+'手簿 (Handbook)'!G68*SIN(RADIANS(運算表!B68))</f>
        <v>#N/A</v>
      </c>
      <c r="D68" s="12" t="e">
        <f>_xlfn.XLOOKUP('手簿 (Handbook)'!A68,TB1Control[點號],TB1Control[H座標])+'手簿 (Handbook)'!G68*TAN(RADIANS(運算表!G68))-'手簿 (Handbook)'!L68</f>
        <v>#N/A</v>
      </c>
    </row>
    <row r="69" spans="1:4" x14ac:dyDescent="0.3">
      <c r="A69" s="33">
        <f>'手簿 (Handbook)'!C69</f>
        <v>0</v>
      </c>
      <c r="B69" s="12" t="e">
        <f>_xlfn.XLOOKUP('手簿 (Handbook)'!A69,TB1Control[點號],TB1Control[N座標])+'手簿 (Handbook)'!G69*COS(RADIANS(運算表!B69))</f>
        <v>#N/A</v>
      </c>
      <c r="C69" s="12" t="e">
        <f>_xlfn.XLOOKUP('手簿 (Handbook)'!A69,TB1Control[點號],TB1Control[E座標])+'手簿 (Handbook)'!G69*SIN(RADIANS(運算表!B69))</f>
        <v>#N/A</v>
      </c>
      <c r="D69" s="12" t="e">
        <f>_xlfn.XLOOKUP('手簿 (Handbook)'!A69,TB1Control[點號],TB1Control[H座標])+'手簿 (Handbook)'!G69*TAN(RADIANS(運算表!G69))-'手簿 (Handbook)'!L69</f>
        <v>#N/A</v>
      </c>
    </row>
    <row r="70" spans="1:4" x14ac:dyDescent="0.3">
      <c r="A70" s="33">
        <f>'手簿 (Handbook)'!C70</f>
        <v>0</v>
      </c>
      <c r="B70" s="12" t="e">
        <f>_xlfn.XLOOKUP('手簿 (Handbook)'!A70,TB1Control[點號],TB1Control[N座標])+'手簿 (Handbook)'!G70*COS(RADIANS(運算表!B70))</f>
        <v>#N/A</v>
      </c>
      <c r="C70" s="12" t="e">
        <f>_xlfn.XLOOKUP('手簿 (Handbook)'!A70,TB1Control[點號],TB1Control[E座標])+'手簿 (Handbook)'!G70*SIN(RADIANS(運算表!B70))</f>
        <v>#N/A</v>
      </c>
      <c r="D70" s="12" t="e">
        <f>_xlfn.XLOOKUP('手簿 (Handbook)'!A70,TB1Control[點號],TB1Control[H座標])+'手簿 (Handbook)'!G70*TAN(RADIANS(運算表!G70))-'手簿 (Handbook)'!L70</f>
        <v>#N/A</v>
      </c>
    </row>
    <row r="71" spans="1:4" x14ac:dyDescent="0.3">
      <c r="A71" s="33">
        <f>'手簿 (Handbook)'!C71</f>
        <v>0</v>
      </c>
      <c r="B71" s="12" t="e">
        <f>_xlfn.XLOOKUP('手簿 (Handbook)'!A71,TB1Control[點號],TB1Control[N座標])+'手簿 (Handbook)'!G71*COS(RADIANS(運算表!B71))</f>
        <v>#N/A</v>
      </c>
      <c r="C71" s="12" t="e">
        <f>_xlfn.XLOOKUP('手簿 (Handbook)'!A71,TB1Control[點號],TB1Control[E座標])+'手簿 (Handbook)'!G71*SIN(RADIANS(運算表!B71))</f>
        <v>#N/A</v>
      </c>
      <c r="D71" s="12" t="e">
        <f>_xlfn.XLOOKUP('手簿 (Handbook)'!A71,TB1Control[點號],TB1Control[H座標])+'手簿 (Handbook)'!G71*TAN(RADIANS(運算表!G71))-'手簿 (Handbook)'!L71</f>
        <v>#N/A</v>
      </c>
    </row>
    <row r="72" spans="1:4" x14ac:dyDescent="0.3">
      <c r="A72" s="33">
        <f>'手簿 (Handbook)'!C72</f>
        <v>0</v>
      </c>
      <c r="B72" s="12" t="e">
        <f>_xlfn.XLOOKUP('手簿 (Handbook)'!A72,TB1Control[點號],TB1Control[N座標])+'手簿 (Handbook)'!G72*COS(RADIANS(運算表!B72))</f>
        <v>#N/A</v>
      </c>
      <c r="C72" s="12" t="e">
        <f>_xlfn.XLOOKUP('手簿 (Handbook)'!A72,TB1Control[點號],TB1Control[E座標])+'手簿 (Handbook)'!G72*SIN(RADIANS(運算表!B72))</f>
        <v>#N/A</v>
      </c>
      <c r="D72" s="12" t="e">
        <f>_xlfn.XLOOKUP('手簿 (Handbook)'!A72,TB1Control[點號],TB1Control[H座標])+'手簿 (Handbook)'!G72*TAN(RADIANS(運算表!G72))-'手簿 (Handbook)'!L72</f>
        <v>#N/A</v>
      </c>
    </row>
    <row r="73" spans="1:4" x14ac:dyDescent="0.3">
      <c r="A73" s="33">
        <f>'手簿 (Handbook)'!C73</f>
        <v>0</v>
      </c>
      <c r="B73" s="12" t="e">
        <f>_xlfn.XLOOKUP('手簿 (Handbook)'!A73,TB1Control[點號],TB1Control[N座標])+'手簿 (Handbook)'!G73*COS(RADIANS(運算表!B73))</f>
        <v>#N/A</v>
      </c>
      <c r="C73" s="12" t="e">
        <f>_xlfn.XLOOKUP('手簿 (Handbook)'!A73,TB1Control[點號],TB1Control[E座標])+'手簿 (Handbook)'!G73*SIN(RADIANS(運算表!B73))</f>
        <v>#N/A</v>
      </c>
      <c r="D73" s="12" t="e">
        <f>_xlfn.XLOOKUP('手簿 (Handbook)'!A73,TB1Control[點號],TB1Control[H座標])+'手簿 (Handbook)'!G73*TAN(RADIANS(運算表!G73))-'手簿 (Handbook)'!L73</f>
        <v>#N/A</v>
      </c>
    </row>
    <row r="74" spans="1:4" x14ac:dyDescent="0.3">
      <c r="A74" s="33">
        <f>'手簿 (Handbook)'!C74</f>
        <v>0</v>
      </c>
      <c r="B74" s="12" t="e">
        <f>_xlfn.XLOOKUP('手簿 (Handbook)'!A74,TB1Control[點號],TB1Control[N座標])+'手簿 (Handbook)'!G74*COS(RADIANS(運算表!B74))</f>
        <v>#N/A</v>
      </c>
      <c r="C74" s="12" t="e">
        <f>_xlfn.XLOOKUP('手簿 (Handbook)'!A74,TB1Control[點號],TB1Control[E座標])+'手簿 (Handbook)'!G74*SIN(RADIANS(運算表!B74))</f>
        <v>#N/A</v>
      </c>
      <c r="D74" s="12" t="e">
        <f>_xlfn.XLOOKUP('手簿 (Handbook)'!A74,TB1Control[點號],TB1Control[H座標])+'手簿 (Handbook)'!G74*TAN(RADIANS(運算表!G74))-'手簿 (Handbook)'!L74</f>
        <v>#N/A</v>
      </c>
    </row>
    <row r="75" spans="1:4" x14ac:dyDescent="0.3">
      <c r="A75" s="33">
        <f>'手簿 (Handbook)'!C75</f>
        <v>0</v>
      </c>
      <c r="B75" s="12" t="e">
        <f>_xlfn.XLOOKUP('手簿 (Handbook)'!A75,TB1Control[點號],TB1Control[N座標])+'手簿 (Handbook)'!G75*COS(RADIANS(運算表!B75))</f>
        <v>#N/A</v>
      </c>
      <c r="C75" s="12" t="e">
        <f>_xlfn.XLOOKUP('手簿 (Handbook)'!A75,TB1Control[點號],TB1Control[E座標])+'手簿 (Handbook)'!G75*SIN(RADIANS(運算表!B75))</f>
        <v>#N/A</v>
      </c>
      <c r="D75" s="12" t="e">
        <f>_xlfn.XLOOKUP('手簿 (Handbook)'!A75,TB1Control[點號],TB1Control[H座標])+'手簿 (Handbook)'!G75*TAN(RADIANS(運算表!G75))-'手簿 (Handbook)'!L75</f>
        <v>#N/A</v>
      </c>
    </row>
    <row r="76" spans="1:4" x14ac:dyDescent="0.3">
      <c r="A76" s="33">
        <f>'手簿 (Handbook)'!C76</f>
        <v>0</v>
      </c>
      <c r="B76" s="12" t="e">
        <f>_xlfn.XLOOKUP('手簿 (Handbook)'!A76,TB1Control[點號],TB1Control[N座標])+'手簿 (Handbook)'!G76*COS(RADIANS(運算表!B76))</f>
        <v>#N/A</v>
      </c>
      <c r="C76" s="12" t="e">
        <f>_xlfn.XLOOKUP('手簿 (Handbook)'!A76,TB1Control[點號],TB1Control[E座標])+'手簿 (Handbook)'!G76*SIN(RADIANS(運算表!B76))</f>
        <v>#N/A</v>
      </c>
      <c r="D76" s="12" t="e">
        <f>_xlfn.XLOOKUP('手簿 (Handbook)'!A76,TB1Control[點號],TB1Control[H座標])+'手簿 (Handbook)'!G76*TAN(RADIANS(運算表!G76))-'手簿 (Handbook)'!L76</f>
        <v>#N/A</v>
      </c>
    </row>
    <row r="77" spans="1:4" x14ac:dyDescent="0.3">
      <c r="A77" s="33">
        <f>'手簿 (Handbook)'!C77</f>
        <v>0</v>
      </c>
      <c r="B77" s="12" t="e">
        <f>_xlfn.XLOOKUP('手簿 (Handbook)'!A77,TB1Control[點號],TB1Control[N座標])+'手簿 (Handbook)'!G77*COS(RADIANS(運算表!B77))</f>
        <v>#N/A</v>
      </c>
      <c r="C77" s="12" t="e">
        <f>_xlfn.XLOOKUP('手簿 (Handbook)'!A77,TB1Control[點號],TB1Control[E座標])+'手簿 (Handbook)'!G77*SIN(RADIANS(運算表!B77))</f>
        <v>#N/A</v>
      </c>
      <c r="D77" s="12" t="e">
        <f>_xlfn.XLOOKUP('手簿 (Handbook)'!A77,TB1Control[點號],TB1Control[H座標])+'手簿 (Handbook)'!G77*TAN(RADIANS(運算表!G77))-'手簿 (Handbook)'!L77</f>
        <v>#N/A</v>
      </c>
    </row>
    <row r="78" spans="1:4" x14ac:dyDescent="0.3">
      <c r="A78" s="33">
        <f>'手簿 (Handbook)'!C78</f>
        <v>0</v>
      </c>
      <c r="B78" s="12" t="e">
        <f>_xlfn.XLOOKUP('手簿 (Handbook)'!A78,TB1Control[點號],TB1Control[N座標])+'手簿 (Handbook)'!G78*COS(RADIANS(運算表!B78))</f>
        <v>#N/A</v>
      </c>
      <c r="C78" s="12" t="e">
        <f>_xlfn.XLOOKUP('手簿 (Handbook)'!A78,TB1Control[點號],TB1Control[E座標])+'手簿 (Handbook)'!G78*SIN(RADIANS(運算表!B78))</f>
        <v>#N/A</v>
      </c>
      <c r="D78" s="12" t="e">
        <f>_xlfn.XLOOKUP('手簿 (Handbook)'!A78,TB1Control[點號],TB1Control[H座標])+'手簿 (Handbook)'!G78*TAN(RADIANS(運算表!G78))-'手簿 (Handbook)'!L78</f>
        <v>#N/A</v>
      </c>
    </row>
    <row r="79" spans="1:4" x14ac:dyDescent="0.3">
      <c r="A79" s="33">
        <f>'手簿 (Handbook)'!C79</f>
        <v>0</v>
      </c>
      <c r="B79" s="12" t="e">
        <f>_xlfn.XLOOKUP('手簿 (Handbook)'!A79,TB1Control[點號],TB1Control[N座標])+'手簿 (Handbook)'!G79*COS(RADIANS(運算表!B79))</f>
        <v>#N/A</v>
      </c>
      <c r="C79" s="12" t="e">
        <f>_xlfn.XLOOKUP('手簿 (Handbook)'!A79,TB1Control[點號],TB1Control[E座標])+'手簿 (Handbook)'!G79*SIN(RADIANS(運算表!B79))</f>
        <v>#N/A</v>
      </c>
      <c r="D79" s="12" t="e">
        <f>_xlfn.XLOOKUP('手簿 (Handbook)'!A79,TB1Control[點號],TB1Control[H座標])+'手簿 (Handbook)'!G79*TAN(RADIANS(運算表!G79))-'手簿 (Handbook)'!L79</f>
        <v>#N/A</v>
      </c>
    </row>
    <row r="80" spans="1:4" x14ac:dyDescent="0.3">
      <c r="A80" s="33">
        <f>'手簿 (Handbook)'!C80</f>
        <v>0</v>
      </c>
      <c r="B80" s="12" t="e">
        <f>_xlfn.XLOOKUP('手簿 (Handbook)'!A80,TB1Control[點號],TB1Control[N座標])+'手簿 (Handbook)'!G80*COS(RADIANS(運算表!B80))</f>
        <v>#N/A</v>
      </c>
      <c r="C80" s="12" t="e">
        <f>_xlfn.XLOOKUP('手簿 (Handbook)'!A80,TB1Control[點號],TB1Control[E座標])+'手簿 (Handbook)'!G80*SIN(RADIANS(運算表!B80))</f>
        <v>#N/A</v>
      </c>
      <c r="D80" s="12" t="e">
        <f>_xlfn.XLOOKUP('手簿 (Handbook)'!A80,TB1Control[點號],TB1Control[H座標])+'手簿 (Handbook)'!G80*TAN(RADIANS(運算表!G80))-'手簿 (Handbook)'!L80</f>
        <v>#N/A</v>
      </c>
    </row>
    <row r="81" spans="1:4" x14ac:dyDescent="0.3">
      <c r="A81" s="33">
        <f>'手簿 (Handbook)'!C81</f>
        <v>0</v>
      </c>
      <c r="B81" s="12" t="e">
        <f>_xlfn.XLOOKUP('手簿 (Handbook)'!A81,TB1Control[點號],TB1Control[N座標])+'手簿 (Handbook)'!G81*COS(RADIANS(運算表!B81))</f>
        <v>#N/A</v>
      </c>
      <c r="C81" s="12" t="e">
        <f>_xlfn.XLOOKUP('手簿 (Handbook)'!A81,TB1Control[點號],TB1Control[E座標])+'手簿 (Handbook)'!G81*SIN(RADIANS(運算表!B81))</f>
        <v>#N/A</v>
      </c>
      <c r="D81" s="12" t="e">
        <f>_xlfn.XLOOKUP('手簿 (Handbook)'!A81,TB1Control[點號],TB1Control[H座標])+'手簿 (Handbook)'!G81*TAN(RADIANS(運算表!G81))-'手簿 (Handbook)'!L81</f>
        <v>#N/A</v>
      </c>
    </row>
    <row r="82" spans="1:4" x14ac:dyDescent="0.3">
      <c r="A82" s="33">
        <f>'手簿 (Handbook)'!C82</f>
        <v>0</v>
      </c>
      <c r="B82" s="12" t="e">
        <f>_xlfn.XLOOKUP('手簿 (Handbook)'!A82,TB1Control[點號],TB1Control[N座標])+'手簿 (Handbook)'!G82*COS(RADIANS(運算表!B82))</f>
        <v>#N/A</v>
      </c>
      <c r="C82" s="12" t="e">
        <f>_xlfn.XLOOKUP('手簿 (Handbook)'!A82,TB1Control[點號],TB1Control[E座標])+'手簿 (Handbook)'!G82*SIN(RADIANS(運算表!B82))</f>
        <v>#N/A</v>
      </c>
      <c r="D82" s="12" t="e">
        <f>_xlfn.XLOOKUP('手簿 (Handbook)'!A82,TB1Control[點號],TB1Control[H座標])+'手簿 (Handbook)'!G82*TAN(RADIANS(運算表!G82))-'手簿 (Handbook)'!L82</f>
        <v>#N/A</v>
      </c>
    </row>
    <row r="83" spans="1:4" x14ac:dyDescent="0.3">
      <c r="A83" s="33">
        <f>'手簿 (Handbook)'!C83</f>
        <v>0</v>
      </c>
      <c r="B83" s="12" t="e">
        <f>_xlfn.XLOOKUP('手簿 (Handbook)'!A83,TB1Control[點號],TB1Control[N座標])+'手簿 (Handbook)'!G83*COS(RADIANS(運算表!B83))</f>
        <v>#N/A</v>
      </c>
      <c r="C83" s="12" t="e">
        <f>_xlfn.XLOOKUP('手簿 (Handbook)'!A83,TB1Control[點號],TB1Control[E座標])+'手簿 (Handbook)'!G83*SIN(RADIANS(運算表!B83))</f>
        <v>#N/A</v>
      </c>
      <c r="D83" s="12" t="e">
        <f>_xlfn.XLOOKUP('手簿 (Handbook)'!A83,TB1Control[點號],TB1Control[H座標])+'手簿 (Handbook)'!G83*TAN(RADIANS(運算表!G83))-'手簿 (Handbook)'!L83</f>
        <v>#N/A</v>
      </c>
    </row>
    <row r="84" spans="1:4" x14ac:dyDescent="0.3">
      <c r="A84" s="33">
        <f>'手簿 (Handbook)'!C84</f>
        <v>0</v>
      </c>
      <c r="B84" s="12" t="e">
        <f>_xlfn.XLOOKUP('手簿 (Handbook)'!A84,TB1Control[點號],TB1Control[N座標])+'手簿 (Handbook)'!G84*COS(RADIANS(運算表!B84))</f>
        <v>#N/A</v>
      </c>
      <c r="C84" s="12" t="e">
        <f>_xlfn.XLOOKUP('手簿 (Handbook)'!A84,TB1Control[點號],TB1Control[E座標])+'手簿 (Handbook)'!G84*SIN(RADIANS(運算表!B84))</f>
        <v>#N/A</v>
      </c>
      <c r="D84" s="12" t="e">
        <f>_xlfn.XLOOKUP('手簿 (Handbook)'!A84,TB1Control[點號],TB1Control[H座標])+'手簿 (Handbook)'!G84*TAN(RADIANS(運算表!G84))-'手簿 (Handbook)'!L84</f>
        <v>#N/A</v>
      </c>
    </row>
    <row r="85" spans="1:4" x14ac:dyDescent="0.3">
      <c r="A85" s="33">
        <f>'手簿 (Handbook)'!C85</f>
        <v>0</v>
      </c>
      <c r="B85" s="12" t="e">
        <f>_xlfn.XLOOKUP('手簿 (Handbook)'!A85,TB1Control[點號],TB1Control[N座標])+'手簿 (Handbook)'!G85*COS(RADIANS(運算表!B85))</f>
        <v>#N/A</v>
      </c>
      <c r="C85" s="12" t="e">
        <f>_xlfn.XLOOKUP('手簿 (Handbook)'!A85,TB1Control[點號],TB1Control[E座標])+'手簿 (Handbook)'!G85*SIN(RADIANS(運算表!B85))</f>
        <v>#N/A</v>
      </c>
      <c r="D85" s="12" t="e">
        <f>_xlfn.XLOOKUP('手簿 (Handbook)'!A85,TB1Control[點號],TB1Control[H座標])+'手簿 (Handbook)'!G85*TAN(RADIANS(運算表!G85))-'手簿 (Handbook)'!L85</f>
        <v>#N/A</v>
      </c>
    </row>
    <row r="86" spans="1:4" x14ac:dyDescent="0.3">
      <c r="A86" s="33">
        <f>'手簿 (Handbook)'!C86</f>
        <v>0</v>
      </c>
      <c r="B86" s="12" t="e">
        <f>_xlfn.XLOOKUP('手簿 (Handbook)'!A86,TB1Control[點號],TB1Control[N座標])+'手簿 (Handbook)'!G86*COS(RADIANS(運算表!B86))</f>
        <v>#N/A</v>
      </c>
      <c r="C86" s="12" t="e">
        <f>_xlfn.XLOOKUP('手簿 (Handbook)'!A86,TB1Control[點號],TB1Control[E座標])+'手簿 (Handbook)'!G86*SIN(RADIANS(運算表!B86))</f>
        <v>#N/A</v>
      </c>
      <c r="D86" s="12" t="e">
        <f>_xlfn.XLOOKUP('手簿 (Handbook)'!A86,TB1Control[點號],TB1Control[H座標])+'手簿 (Handbook)'!G86*TAN(RADIANS(運算表!G86))-'手簿 (Handbook)'!L86</f>
        <v>#N/A</v>
      </c>
    </row>
    <row r="87" spans="1:4" x14ac:dyDescent="0.3">
      <c r="A87" s="33">
        <f>'手簿 (Handbook)'!C87</f>
        <v>0</v>
      </c>
      <c r="B87" s="12" t="e">
        <f>_xlfn.XLOOKUP('手簿 (Handbook)'!A87,TB1Control[點號],TB1Control[N座標])+'手簿 (Handbook)'!G87*COS(RADIANS(運算表!B87))</f>
        <v>#N/A</v>
      </c>
      <c r="C87" s="12" t="e">
        <f>_xlfn.XLOOKUP('手簿 (Handbook)'!A87,TB1Control[點號],TB1Control[E座標])+'手簿 (Handbook)'!G87*SIN(RADIANS(運算表!B87))</f>
        <v>#N/A</v>
      </c>
      <c r="D87" s="12" t="e">
        <f>_xlfn.XLOOKUP('手簿 (Handbook)'!A87,TB1Control[點號],TB1Control[H座標])+'手簿 (Handbook)'!G87*TAN(RADIANS(運算表!G87))-'手簿 (Handbook)'!L87</f>
        <v>#N/A</v>
      </c>
    </row>
    <row r="88" spans="1:4" x14ac:dyDescent="0.3">
      <c r="A88" s="33">
        <f>'手簿 (Handbook)'!C88</f>
        <v>0</v>
      </c>
      <c r="B88" s="12" t="e">
        <f>_xlfn.XLOOKUP('手簿 (Handbook)'!A88,TB1Control[點號],TB1Control[N座標])+'手簿 (Handbook)'!G88*COS(RADIANS(運算表!B88))</f>
        <v>#N/A</v>
      </c>
      <c r="C88" s="12" t="e">
        <f>_xlfn.XLOOKUP('手簿 (Handbook)'!A88,TB1Control[點號],TB1Control[E座標])+'手簿 (Handbook)'!G88*SIN(RADIANS(運算表!B88))</f>
        <v>#N/A</v>
      </c>
      <c r="D88" s="12" t="e">
        <f>_xlfn.XLOOKUP('手簿 (Handbook)'!A88,TB1Control[點號],TB1Control[H座標])+'手簿 (Handbook)'!G88*TAN(RADIANS(運算表!G88))-'手簿 (Handbook)'!L88</f>
        <v>#N/A</v>
      </c>
    </row>
    <row r="89" spans="1:4" x14ac:dyDescent="0.3">
      <c r="A89" s="33">
        <f>'手簿 (Handbook)'!C89</f>
        <v>0</v>
      </c>
      <c r="B89" s="12" t="e">
        <f>_xlfn.XLOOKUP('手簿 (Handbook)'!A89,TB1Control[點號],TB1Control[N座標])+'手簿 (Handbook)'!G89*COS(RADIANS(運算表!B89))</f>
        <v>#N/A</v>
      </c>
      <c r="C89" s="12" t="e">
        <f>_xlfn.XLOOKUP('手簿 (Handbook)'!A89,TB1Control[點號],TB1Control[E座標])+'手簿 (Handbook)'!G89*SIN(RADIANS(運算表!B89))</f>
        <v>#N/A</v>
      </c>
      <c r="D89" s="12" t="e">
        <f>_xlfn.XLOOKUP('手簿 (Handbook)'!A89,TB1Control[點號],TB1Control[H座標])+'手簿 (Handbook)'!G89*TAN(RADIANS(運算表!G89))-'手簿 (Handbook)'!L89</f>
        <v>#N/A</v>
      </c>
    </row>
    <row r="90" spans="1:4" x14ac:dyDescent="0.3">
      <c r="A90" s="33">
        <f>'手簿 (Handbook)'!C90</f>
        <v>0</v>
      </c>
      <c r="B90" s="12" t="e">
        <f>_xlfn.XLOOKUP('手簿 (Handbook)'!A90,TB1Control[點號],TB1Control[N座標])+'手簿 (Handbook)'!G90*COS(RADIANS(運算表!B90))</f>
        <v>#N/A</v>
      </c>
      <c r="C90" s="12" t="e">
        <f>_xlfn.XLOOKUP('手簿 (Handbook)'!A90,TB1Control[點號],TB1Control[E座標])+'手簿 (Handbook)'!G90*SIN(RADIANS(運算表!B90))</f>
        <v>#N/A</v>
      </c>
      <c r="D90" s="12" t="e">
        <f>_xlfn.XLOOKUP('手簿 (Handbook)'!A90,TB1Control[點號],TB1Control[H座標])+'手簿 (Handbook)'!G90*TAN(RADIANS(運算表!G90))-'手簿 (Handbook)'!L90</f>
        <v>#N/A</v>
      </c>
    </row>
    <row r="91" spans="1:4" x14ac:dyDescent="0.3">
      <c r="A91" s="33">
        <f>'手簿 (Handbook)'!C91</f>
        <v>0</v>
      </c>
      <c r="B91" s="12" t="e">
        <f>_xlfn.XLOOKUP('手簿 (Handbook)'!A91,TB1Control[點號],TB1Control[N座標])+'手簿 (Handbook)'!G91*COS(RADIANS(運算表!B91))</f>
        <v>#N/A</v>
      </c>
      <c r="C91" s="12" t="e">
        <f>_xlfn.XLOOKUP('手簿 (Handbook)'!A91,TB1Control[點號],TB1Control[E座標])+'手簿 (Handbook)'!G91*SIN(RADIANS(運算表!B91))</f>
        <v>#N/A</v>
      </c>
      <c r="D91" s="12" t="e">
        <f>_xlfn.XLOOKUP('手簿 (Handbook)'!A91,TB1Control[點號],TB1Control[H座標])+'手簿 (Handbook)'!G91*TAN(RADIANS(運算表!G91))-'手簿 (Handbook)'!L91</f>
        <v>#N/A</v>
      </c>
    </row>
    <row r="92" spans="1:4" x14ac:dyDescent="0.3">
      <c r="A92" s="33">
        <f>'手簿 (Handbook)'!C92</f>
        <v>0</v>
      </c>
      <c r="B92" s="12" t="e">
        <f>_xlfn.XLOOKUP('手簿 (Handbook)'!A92,TB1Control[點號],TB1Control[N座標])+'手簿 (Handbook)'!G92*COS(RADIANS(運算表!B92))</f>
        <v>#N/A</v>
      </c>
      <c r="C92" s="12" t="e">
        <f>_xlfn.XLOOKUP('手簿 (Handbook)'!A92,TB1Control[點號],TB1Control[E座標])+'手簿 (Handbook)'!G92*SIN(RADIANS(運算表!B92))</f>
        <v>#N/A</v>
      </c>
      <c r="D92" s="12" t="e">
        <f>_xlfn.XLOOKUP('手簿 (Handbook)'!A92,TB1Control[點號],TB1Control[H座標])+'手簿 (Handbook)'!G92*TAN(RADIANS(運算表!G92))-'手簿 (Handbook)'!L92</f>
        <v>#N/A</v>
      </c>
    </row>
    <row r="93" spans="1:4" x14ac:dyDescent="0.3">
      <c r="A93" s="33">
        <f>'手簿 (Handbook)'!C93</f>
        <v>0</v>
      </c>
      <c r="B93" s="12" t="e">
        <f>_xlfn.XLOOKUP('手簿 (Handbook)'!A93,TB1Control[點號],TB1Control[N座標])+'手簿 (Handbook)'!G93*COS(RADIANS(運算表!B93))</f>
        <v>#N/A</v>
      </c>
      <c r="C93" s="12" t="e">
        <f>_xlfn.XLOOKUP('手簿 (Handbook)'!A93,TB1Control[點號],TB1Control[E座標])+'手簿 (Handbook)'!G93*SIN(RADIANS(運算表!B93))</f>
        <v>#N/A</v>
      </c>
      <c r="D93" s="12" t="e">
        <f>_xlfn.XLOOKUP('手簿 (Handbook)'!A93,TB1Control[點號],TB1Control[H座標])+'手簿 (Handbook)'!G93*TAN(RADIANS(運算表!G93))-'手簿 (Handbook)'!L93</f>
        <v>#N/A</v>
      </c>
    </row>
    <row r="94" spans="1:4" x14ac:dyDescent="0.3">
      <c r="A94" s="33">
        <f>'手簿 (Handbook)'!C94</f>
        <v>0</v>
      </c>
      <c r="B94" s="12" t="e">
        <f>_xlfn.XLOOKUP('手簿 (Handbook)'!A94,TB1Control[點號],TB1Control[N座標])+'手簿 (Handbook)'!G94*COS(RADIANS(運算表!B94))</f>
        <v>#N/A</v>
      </c>
      <c r="C94" s="12" t="e">
        <f>_xlfn.XLOOKUP('手簿 (Handbook)'!A94,TB1Control[點號],TB1Control[E座標])+'手簿 (Handbook)'!G94*SIN(RADIANS(運算表!B94))</f>
        <v>#N/A</v>
      </c>
      <c r="D94" s="12" t="e">
        <f>_xlfn.XLOOKUP('手簿 (Handbook)'!A94,TB1Control[點號],TB1Control[H座標])+'手簿 (Handbook)'!G94*TAN(RADIANS(運算表!G94))-'手簿 (Handbook)'!L94</f>
        <v>#N/A</v>
      </c>
    </row>
    <row r="95" spans="1:4" x14ac:dyDescent="0.3">
      <c r="A95" s="33">
        <f>'手簿 (Handbook)'!C95</f>
        <v>0</v>
      </c>
      <c r="B95" s="12" t="e">
        <f>_xlfn.XLOOKUP('手簿 (Handbook)'!A95,TB1Control[點號],TB1Control[N座標])+'手簿 (Handbook)'!G95*COS(RADIANS(運算表!B95))</f>
        <v>#N/A</v>
      </c>
      <c r="C95" s="12" t="e">
        <f>_xlfn.XLOOKUP('手簿 (Handbook)'!A95,TB1Control[點號],TB1Control[E座標])+'手簿 (Handbook)'!G95*SIN(RADIANS(運算表!B95))</f>
        <v>#N/A</v>
      </c>
      <c r="D95" s="12" t="e">
        <f>_xlfn.XLOOKUP('手簿 (Handbook)'!A95,TB1Control[點號],TB1Control[H座標])+'手簿 (Handbook)'!G95*TAN(RADIANS(運算表!G95))-'手簿 (Handbook)'!L95</f>
        <v>#N/A</v>
      </c>
    </row>
    <row r="96" spans="1:4" x14ac:dyDescent="0.3">
      <c r="A96" s="33">
        <f>'手簿 (Handbook)'!C96</f>
        <v>0</v>
      </c>
      <c r="B96" s="12" t="e">
        <f>_xlfn.XLOOKUP('手簿 (Handbook)'!A96,TB1Control[點號],TB1Control[N座標])+'手簿 (Handbook)'!G96*COS(RADIANS(運算表!B96))</f>
        <v>#N/A</v>
      </c>
      <c r="C96" s="12" t="e">
        <f>_xlfn.XLOOKUP('手簿 (Handbook)'!A96,TB1Control[點號],TB1Control[E座標])+'手簿 (Handbook)'!G96*SIN(RADIANS(運算表!B96))</f>
        <v>#N/A</v>
      </c>
      <c r="D96" s="12" t="e">
        <f>_xlfn.XLOOKUP('手簿 (Handbook)'!A96,TB1Control[點號],TB1Control[H座標])+'手簿 (Handbook)'!G96*TAN(RADIANS(運算表!G96))-'手簿 (Handbook)'!L96</f>
        <v>#N/A</v>
      </c>
    </row>
    <row r="97" spans="1:4" x14ac:dyDescent="0.3">
      <c r="A97" s="33">
        <f>'手簿 (Handbook)'!C97</f>
        <v>0</v>
      </c>
      <c r="B97" s="12" t="e">
        <f>_xlfn.XLOOKUP('手簿 (Handbook)'!A97,TB1Control[點號],TB1Control[N座標])+'手簿 (Handbook)'!G97*COS(RADIANS(運算表!B97))</f>
        <v>#N/A</v>
      </c>
      <c r="C97" s="12" t="e">
        <f>_xlfn.XLOOKUP('手簿 (Handbook)'!A97,TB1Control[點號],TB1Control[E座標])+'手簿 (Handbook)'!G97*SIN(RADIANS(運算表!B97))</f>
        <v>#N/A</v>
      </c>
      <c r="D97" s="12" t="e">
        <f>_xlfn.XLOOKUP('手簿 (Handbook)'!A97,TB1Control[點號],TB1Control[H座標])+'手簿 (Handbook)'!G97*TAN(RADIANS(運算表!G97))-'手簿 (Handbook)'!L97</f>
        <v>#N/A</v>
      </c>
    </row>
    <row r="98" spans="1:4" x14ac:dyDescent="0.3">
      <c r="A98" s="33">
        <f>'手簿 (Handbook)'!C98</f>
        <v>0</v>
      </c>
      <c r="B98" s="12" t="e">
        <f>_xlfn.XLOOKUP('手簿 (Handbook)'!A98,TB1Control[點號],TB1Control[N座標])+'手簿 (Handbook)'!G98*COS(RADIANS(運算表!B98))</f>
        <v>#N/A</v>
      </c>
      <c r="C98" s="12" t="e">
        <f>_xlfn.XLOOKUP('手簿 (Handbook)'!A98,TB1Control[點號],TB1Control[E座標])+'手簿 (Handbook)'!G98*SIN(RADIANS(運算表!B98))</f>
        <v>#N/A</v>
      </c>
      <c r="D98" s="12" t="e">
        <f>_xlfn.XLOOKUP('手簿 (Handbook)'!A98,TB1Control[點號],TB1Control[H座標])+'手簿 (Handbook)'!G98*TAN(RADIANS(運算表!G98))-'手簿 (Handbook)'!L98</f>
        <v>#N/A</v>
      </c>
    </row>
    <row r="99" spans="1:4" x14ac:dyDescent="0.3">
      <c r="A99" s="33">
        <f>'手簿 (Handbook)'!C99</f>
        <v>0</v>
      </c>
      <c r="B99" s="12" t="e">
        <f>_xlfn.XLOOKUP('手簿 (Handbook)'!A99,TB1Control[點號],TB1Control[N座標])+'手簿 (Handbook)'!G99*COS(RADIANS(運算表!B99))</f>
        <v>#N/A</v>
      </c>
      <c r="C99" s="12" t="e">
        <f>_xlfn.XLOOKUP('手簿 (Handbook)'!A99,TB1Control[點號],TB1Control[E座標])+'手簿 (Handbook)'!G99*SIN(RADIANS(運算表!B99))</f>
        <v>#N/A</v>
      </c>
      <c r="D99" s="12" t="e">
        <f>_xlfn.XLOOKUP('手簿 (Handbook)'!A99,TB1Control[點號],TB1Control[H座標])+'手簿 (Handbook)'!G99*TAN(RADIANS(運算表!G99))-'手簿 (Handbook)'!L99</f>
        <v>#N/A</v>
      </c>
    </row>
    <row r="100" spans="1:4" x14ac:dyDescent="0.3">
      <c r="A100" s="33">
        <f>'手簿 (Handbook)'!C100</f>
        <v>0</v>
      </c>
      <c r="B100" s="12" t="e">
        <f>_xlfn.XLOOKUP('手簿 (Handbook)'!A100,TB1Control[點號],TB1Control[N座標])+'手簿 (Handbook)'!G100*COS(RADIANS(運算表!B100))</f>
        <v>#N/A</v>
      </c>
      <c r="C100" s="12" t="e">
        <f>_xlfn.XLOOKUP('手簿 (Handbook)'!A100,TB1Control[點號],TB1Control[E座標])+'手簿 (Handbook)'!G100*SIN(RADIANS(運算表!B100))</f>
        <v>#N/A</v>
      </c>
      <c r="D100" s="12" t="e">
        <f>_xlfn.XLOOKUP('手簿 (Handbook)'!A100,TB1Control[點號],TB1Control[H座標])+'手簿 (Handbook)'!G100*TAN(RADIANS(運算表!G100))-'手簿 (Handbook)'!L100</f>
        <v>#N/A</v>
      </c>
    </row>
  </sheetData>
  <phoneticPr fontId="1" type="noConversion"/>
  <dataValidations count="1">
    <dataValidation type="list" allowBlank="1" showInputMessage="1" showErrorMessage="1" sqref="A2:A100" xr:uid="{D8CA8237-32F8-4793-BF8B-7AF5837C4081}">
      <formula1>FSPointlist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401F471D57A5429EB8B99DDCAEE660" ma:contentTypeVersion="9" ma:contentTypeDescription="Create a new document." ma:contentTypeScope="" ma:versionID="3de6c8108c7d54da94a611e778365cb0">
  <xsd:schema xmlns:xsd="http://www.w3.org/2001/XMLSchema" xmlns:xs="http://www.w3.org/2001/XMLSchema" xmlns:p="http://schemas.microsoft.com/office/2006/metadata/properties" xmlns:ns3="003107b8-acf5-4ccf-a95f-8a937dc6a7d1" targetNamespace="http://schemas.microsoft.com/office/2006/metadata/properties" ma:root="true" ma:fieldsID="cb4a73eb69befea5e7bac0f47cc81464" ns3:_="">
    <xsd:import namespace="003107b8-acf5-4ccf-a95f-8a937dc6a7d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3107b8-acf5-4ccf-a95f-8a937dc6a7d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95F0DE4-77A1-49BA-B3A1-5184F579B214}">
  <ds:schemaRefs>
    <ds:schemaRef ds:uri="http://purl.org/dc/dcmitype/"/>
    <ds:schemaRef ds:uri="003107b8-acf5-4ccf-a95f-8a937dc6a7d1"/>
    <ds:schemaRef ds:uri="http://purl.org/dc/terms/"/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B550E747-8145-40B6-8FC0-C6EB0DBD8F3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25A3D8C-E79B-447D-AB8B-596A0CE00F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03107b8-acf5-4ccf-a95f-8a937dc6a7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具名範圍</vt:lpstr>
      </vt:variant>
      <vt:variant>
        <vt:i4>2</vt:i4>
      </vt:variant>
    </vt:vector>
  </HeadingPairs>
  <TitlesOfParts>
    <vt:vector size="6" baseType="lpstr">
      <vt:lpstr>控制點 (ControlPoints)</vt:lpstr>
      <vt:lpstr>手簿 (Handbook)</vt:lpstr>
      <vt:lpstr>運算表</vt:lpstr>
      <vt:lpstr>細部點座標</vt:lpstr>
      <vt:lpstr>FSPointlist</vt:lpstr>
      <vt:lpstr>Pointlist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廖威源</dc:creator>
  <cp:keywords/>
  <dc:description/>
  <cp:lastModifiedBy>廖威源</cp:lastModifiedBy>
  <cp:revision/>
  <dcterms:created xsi:type="dcterms:W3CDTF">2025-11-26T06:16:39Z</dcterms:created>
  <dcterms:modified xsi:type="dcterms:W3CDTF">2025-11-30T22:49:34Z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0x010100D1401F471D57A5429EB8B99DDCAEE660</vt:lpwstr>
  </property>
</Properties>
</file>